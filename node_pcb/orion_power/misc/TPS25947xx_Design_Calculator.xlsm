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Vincent\Documents\Xplore\GitHub\AV_HW_workspace\node_pcb\orion_pcb\misc\"/>
    </mc:Choice>
  </mc:AlternateContent>
  <xr:revisionPtr revIDLastSave="0" documentId="13_ncr:1_{170E5BBF-443F-4F10-B35F-D193F98DBD5E}" xr6:coauthVersionLast="47" xr6:coauthVersionMax="47" xr10:uidLastSave="{00000000-0000-0000-0000-000000000000}"/>
  <bookViews>
    <workbookView xWindow="-120" yWindow="285" windowWidth="38640" windowHeight="20865"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1" l="1"/>
  <c r="F89" i="1" l="1"/>
  <c r="F87" i="1" s="1"/>
  <c r="F73" i="1" l="1"/>
  <c r="F74" i="1" s="1"/>
  <c r="D31" i="1"/>
  <c r="D33" i="1" s="1"/>
  <c r="L55" i="1" s="1"/>
  <c r="L56" i="1" s="1"/>
  <c r="G35" i="1" s="1"/>
  <c r="D35" i="1" s="1"/>
  <c r="F35" i="1"/>
  <c r="F37" i="1" s="1"/>
  <c r="D27" i="1"/>
  <c r="D28" i="1" l="1"/>
  <c r="K34" i="1"/>
  <c r="F36" i="1"/>
  <c r="D38" i="1"/>
  <c r="D36" i="1"/>
  <c r="K33" i="1" s="1"/>
  <c r="D37" i="1"/>
  <c r="K32" i="1" s="1"/>
  <c r="D109" i="1" l="1"/>
  <c r="D22" i="1" l="1"/>
  <c r="D70" i="1" s="1"/>
  <c r="L57" i="1" s="1"/>
  <c r="L58" i="1" s="1"/>
  <c r="G72" i="1" s="1"/>
  <c r="D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D62" i="1"/>
  <c r="L53" i="1" s="1"/>
  <c r="L54" i="1" s="1"/>
  <c r="D64" i="1" l="1"/>
  <c r="D67" i="1" s="1"/>
  <c r="G19" i="1"/>
  <c r="D65" i="1" l="1"/>
  <c r="D66" i="1"/>
  <c r="L50" i="1"/>
  <c r="L51" i="1" s="1"/>
  <c r="F53" i="1" l="1"/>
  <c r="F52" i="1"/>
  <c r="F51" i="1"/>
  <c r="F50" i="1"/>
  <c r="D42" i="1" l="1"/>
  <c r="D43" i="1" l="1"/>
  <c r="L42" i="1"/>
  <c r="D46" i="1" l="1"/>
  <c r="L47" i="1" s="1"/>
  <c r="D45" i="1" l="1"/>
  <c r="L48" i="1"/>
  <c r="G49" i="1" s="1"/>
  <c r="L44" i="1" l="1"/>
  <c r="L45" i="1" l="1"/>
  <c r="G48" i="1" s="1"/>
  <c r="D48" i="1" s="1"/>
  <c r="D54" i="1" l="1"/>
  <c r="D51" i="1"/>
  <c r="J43" i="1" s="1"/>
  <c r="D53" i="1"/>
  <c r="J45" i="1" s="1"/>
  <c r="D52" i="1"/>
  <c r="J46" i="1" s="1"/>
  <c r="D50" i="1"/>
  <c r="J44" i="1" s="1"/>
  <c r="B74" i="13"/>
  <c r="B73" i="13"/>
  <c r="B71" i="13"/>
  <c r="B70" i="13"/>
  <c r="B69" i="13" s="1"/>
  <c r="B67" i="13"/>
  <c r="B66" i="13"/>
  <c r="B65" i="13" s="1"/>
  <c r="B63" i="13"/>
  <c r="B62" i="13"/>
  <c r="B61" i="13" s="1"/>
  <c r="B59" i="13"/>
  <c r="B58" i="13" s="1"/>
  <c r="B57" i="13" s="1"/>
  <c r="B55" i="13"/>
  <c r="B54" i="13"/>
  <c r="B53" i="13" s="1"/>
  <c r="B51" i="13"/>
  <c r="B50" i="13" s="1"/>
  <c r="B49" i="13" s="1"/>
  <c r="B47" i="13"/>
  <c r="B46" i="13"/>
  <c r="B45" i="13" s="1"/>
  <c r="B43" i="13"/>
  <c r="B42" i="13" s="1"/>
  <c r="B41" i="13" s="1"/>
  <c r="B39" i="13"/>
  <c r="B35" i="13"/>
  <c r="B34" i="13" s="1"/>
  <c r="B33" i="13" s="1"/>
  <c r="B31" i="13"/>
  <c r="B30" i="13" s="1"/>
  <c r="B29" i="13" s="1"/>
  <c r="C74" i="13"/>
  <c r="C73" i="13" s="1"/>
  <c r="C71" i="13"/>
  <c r="C70" i="13" s="1"/>
  <c r="C69" i="13" s="1"/>
  <c r="C67" i="13"/>
  <c r="C66" i="13"/>
  <c r="C65" i="13" s="1"/>
  <c r="C63" i="13"/>
  <c r="C62" i="13"/>
  <c r="C61" i="13" s="1"/>
  <c r="C59" i="13"/>
  <c r="C58" i="13"/>
  <c r="C57" i="13" s="1"/>
  <c r="C55" i="13"/>
  <c r="C54" i="13"/>
  <c r="C53" i="13"/>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c r="C21" i="13" s="1"/>
  <c r="C19" i="13"/>
  <c r="C18" i="13" s="1"/>
  <c r="C17" i="13" s="1"/>
  <c r="G110" i="1" l="1"/>
  <c r="G87" i="1"/>
  <c r="D86" i="1" s="1"/>
  <c r="D87" i="1" s="1"/>
  <c r="B38" i="13"/>
  <c r="B37" i="13" s="1"/>
  <c r="D73" i="1"/>
  <c r="K69" i="1" l="1"/>
  <c r="Y98" i="1"/>
  <c r="Y100" i="1" s="1"/>
  <c r="D90" i="1"/>
  <c r="D110" i="1"/>
  <c r="D111" i="1" s="1"/>
  <c r="K70" i="1"/>
  <c r="D74" i="1"/>
  <c r="D88" i="1"/>
  <c r="G88" i="1"/>
  <c r="D94" i="1" l="1"/>
  <c r="U86" i="1"/>
  <c r="D89" i="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95" i="1" s="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charset val="1"/>
          </rPr>
          <t>kunalgoel:</t>
        </r>
        <r>
          <rPr>
            <sz val="9"/>
            <color indexed="81"/>
            <rFont val="Tahoma"/>
            <charset val="1"/>
          </rPr>
          <t xml:space="preserve">
85c</t>
        </r>
      </text>
    </comment>
    <comment ref="AF96" authorId="0" shapeId="0" xr:uid="{4A632067-EE66-448B-B2D2-A07A9B014340}">
      <text>
        <r>
          <rPr>
            <b/>
            <sz val="9"/>
            <color indexed="81"/>
            <rFont val="Tahoma"/>
            <charset val="1"/>
          </rPr>
          <t>kunalgoel:</t>
        </r>
        <r>
          <rPr>
            <sz val="9"/>
            <color indexed="81"/>
            <rFont val="Tahoma"/>
            <charset val="1"/>
          </rPr>
          <t xml:space="preserve">
25c</t>
        </r>
      </text>
    </comment>
    <comment ref="AL96" authorId="0" shapeId="0" xr:uid="{B77BB7D7-EE09-40CC-8EF8-1F089C3E4374}">
      <text>
        <r>
          <rPr>
            <b/>
            <sz val="9"/>
            <color indexed="81"/>
            <rFont val="Tahoma"/>
            <charset val="1"/>
          </rPr>
          <t>kunalgoel:</t>
        </r>
        <r>
          <rPr>
            <sz val="9"/>
            <color indexed="81"/>
            <rFont val="Tahoma"/>
            <charset val="1"/>
          </rPr>
          <t xml:space="preserve">
125c
</t>
        </r>
      </text>
    </comment>
    <comment ref="AA97" authorId="0" shapeId="0" xr:uid="{B4D75FB7-6D1B-470E-B8D4-22DC2B43B086}">
      <text>
        <r>
          <rPr>
            <b/>
            <sz val="9"/>
            <color indexed="81"/>
            <rFont val="Tahoma"/>
            <charset val="1"/>
          </rPr>
          <t>kunalgoel:</t>
        </r>
        <r>
          <rPr>
            <sz val="9"/>
            <color indexed="81"/>
            <rFont val="Tahoma"/>
            <charset val="1"/>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charset val="1"/>
          </rPr>
          <t>kunalgoel:</t>
        </r>
        <r>
          <rPr>
            <sz val="9"/>
            <color indexed="81"/>
            <rFont val="Tahoma"/>
            <charset val="1"/>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charset val="1"/>
          </rPr>
          <t>kunalgoel:</t>
        </r>
        <r>
          <rPr>
            <sz val="9"/>
            <color indexed="81"/>
            <rFont val="Tahoma"/>
            <charset val="1"/>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<sst xmlns="http://schemas.openxmlformats.org/spreadsheetml/2006/main" count="361" uniqueCount="244">
  <si>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</si>
  <si>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</si>
  <si>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</si>
  <si>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</si>
  <si>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</si>
  <si>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</si>
  <si>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</si>
  <si>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</si>
  <si>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</si>
  <si>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</si>
  <si>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</si>
  <si>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</si>
  <si>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</si>
  <si>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</si>
  <si>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</si>
  <si>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</si>
  <si>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</si>
  <si>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</si>
  <si>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</si>
  <si>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</si>
  <si>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</si>
  <si>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</si>
  <si>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</si>
  <si>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</si>
  <si>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</si>
  <si>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</si>
  <si>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</si>
  <si>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</si>
  <si>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</si>
  <si>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</si>
  <si>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</si>
  <si>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</si>
  <si>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</si>
  <si>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</si>
  <si>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</si>
  <si>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</si>
  <si>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</si>
  <si>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</si>
  <si>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</si>
  <si>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</si>
  <si>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</si>
  <si>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</si>
  <si>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</si>
  <si>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</si>
  <si>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</si>
  <si>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</si>
  <si>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</si>
  <si>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</si>
  <si>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</si>
  <si>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</si>
  <si>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</si>
  <si>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</si>
  <si>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</si>
  <si>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</si>
  <si>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</si>
  <si>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</si>
  <si>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</si>
  <si>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</si>
  <si>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</si>
  <si>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</si>
  <si>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</si>
  <si>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</si>
  <si>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</si>
  <si>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</si>
  <si>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</si>
  <si>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</si>
  <si>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</si>
  <si>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</si>
  <si>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</si>
  <si>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</si>
  <si>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</si>
  <si>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</si>
  <si>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</si>
  <si>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</si>
  <si>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</si>
  <si>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</si>
  <si>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</si>
  <si>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</si>
  <si>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</si>
  <si>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</si>
  <si>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</si>
  <si>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</si>
  <si>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</si>
  <si>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</si>
  <si>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</si>
  <si>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</si>
  <si>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</si>
  <si>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</si>
  <si>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</si>
  <si>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</si>
  <si>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</si>
  <si>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</si>
  <si>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</si>
  <si>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</si>
  <si>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</si>
  <si>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</si>
  <si>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</si>
  <si>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</si>
  <si>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</si>
  <si>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</si>
  <si>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</si>
  <si>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</si>
  <si>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</si>
  <si>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</si>
  <si>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</si>
  <si>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</si>
  <si>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</si>
  <si>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</si>
  <si>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</si>
  <si>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</si>
  <si>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</si>
  <si>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</si>
  <si>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</si>
  <si>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</si>
  <si>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</si>
  <si>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</si>
  <si>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</si>
  <si>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</si>
  <si>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</si>
  <si>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</si>
  <si>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</si>
  <si>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</si>
  <si>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</si>
  <si>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</si>
  <si>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</si>
  <si>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</si>
  <si>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</si>
  <si>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</si>
  <si>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</si>
  <si>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</si>
  <si>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</si>
  <si>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</si>
  <si>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</si>
  <si>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</si>
  <si>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</si>
  <si>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</si>
  <si>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</si>
  <si>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</si>
  <si>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</si>
  <si>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</si>
  <si>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</si>
  <si>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</si>
  <si>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</si>
  <si>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</si>
  <si>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</si>
  <si>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</si>
  <si>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</si>
  <si>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</si>
  <si>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</si>
  <si>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</si>
  <si>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</si>
  <si>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</si>
  <si>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</si>
  <si>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</si>
  <si>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</si>
  <si>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</si>
  <si>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</si>
  <si>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</si>
  <si>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</si>
  <si>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</si>
  <si>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</si>
  <si>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</si>
  <si>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</si>
  <si>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</si>
  <si>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</si>
  <si>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</si>
  <si>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</si>
  <si>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</si>
  <si>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</si>
  <si>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</si>
  <si>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TPS25947xx Design Calculation Tool</t>
  </si>
  <si>
    <t>Table - 1: Device Comparison Table</t>
  </si>
  <si>
    <t>Part number</t>
  </si>
  <si>
    <t>Overvoltage Response</t>
  </si>
  <si>
    <t>Response to Thermal Shutdown (TSD)</t>
  </si>
  <si>
    <t>Latch-off</t>
  </si>
  <si>
    <t>Auto-retry</t>
  </si>
  <si>
    <t>Adjustable OVLO</t>
  </si>
  <si>
    <t>Overcurrent response</t>
  </si>
  <si>
    <t>AUXOFF or PG</t>
  </si>
  <si>
    <t>FLT or PGTH</t>
  </si>
  <si>
    <t>Pin Selectable OVC (3.8 V/5.7 V/13.8 V)</t>
  </si>
  <si>
    <t>Pin Selectable OVC(3.8 V/5.7 V/13.8 V)</t>
  </si>
  <si>
    <t>Active Current Limit</t>
  </si>
  <si>
    <t>Circuit Breaker</t>
  </si>
  <si>
    <t>AUXOFF</t>
  </si>
  <si>
    <t>PG</t>
  </si>
  <si>
    <t>FLT</t>
  </si>
  <si>
    <t>Auto-Retry</t>
  </si>
  <si>
    <t>Select Device</t>
  </si>
  <si>
    <t>TPS259470A</t>
  </si>
  <si>
    <t>TPS259470L</t>
  </si>
  <si>
    <t>TPS259472A</t>
  </si>
  <si>
    <t>TPS259472L</t>
  </si>
  <si>
    <t>TPS259474A</t>
  </si>
  <si>
    <t>TPS259474L</t>
  </si>
  <si>
    <t>VIN (max) Selected</t>
  </si>
  <si>
    <t>Maximum Operating input voltage selected from D6 and D7</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</si>
  <si>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</si>
  <si>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</si>
  <si>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</si>
  <si>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</si>
  <si>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</si>
  <si>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</si>
  <si>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</si>
  <si>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</si>
  <si>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</si>
  <si>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</si>
  <si>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</si>
  <si>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</si>
  <si>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</si>
  <si>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</si>
  <si>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</si>
  <si>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</si>
  <si>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</si>
  <si>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</si>
  <si>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r>
      <t xml:space="preserve">OVC set point calculations </t>
    </r>
    <r>
      <rPr>
        <b/>
        <i/>
        <sz val="16"/>
        <rFont val="Calibri"/>
        <family val="2"/>
        <scheme val="minor"/>
      </rPr>
      <t>(TPS259472x)</t>
    </r>
  </si>
  <si>
    <r>
      <t xml:space="preserve">UVLO set point calculations </t>
    </r>
    <r>
      <rPr>
        <b/>
        <i/>
        <sz val="16"/>
        <rFont val="Calibri"/>
        <family val="2"/>
        <scheme val="minor"/>
      </rPr>
      <t>(TPS259472x)</t>
    </r>
  </si>
  <si>
    <t>I_R12</t>
  </si>
  <si>
    <t>R1: Pullup at EN/UVLO Pin</t>
  </si>
  <si>
    <t>Calculated value of Resistor at EN/UVLO pin</t>
  </si>
  <si>
    <t>SELECT THE VALUE OF RESISTORS AS CLOSEST AVAILABLE VALUE OF R2</t>
  </si>
  <si>
    <t>Current in R1, R2 Branch</t>
  </si>
  <si>
    <r>
      <t xml:space="preserve">UVLO, OVLO set point calculations </t>
    </r>
    <r>
      <rPr>
        <b/>
        <i/>
        <sz val="16"/>
        <rFont val="Calibri"/>
        <family val="2"/>
        <scheme val="minor"/>
      </rPr>
      <t>(TPS259470x and TPS259474x)</t>
    </r>
  </si>
  <si>
    <t>Value &gt; 350k recommended</t>
  </si>
  <si>
    <r>
      <t>PGset point calculations</t>
    </r>
    <r>
      <rPr>
        <b/>
        <i/>
        <sz val="16"/>
        <rFont val="Calibri"/>
        <family val="2"/>
        <scheme val="minor"/>
      </rPr>
      <t>(TPS259472x and TPS259474x)</t>
    </r>
  </si>
  <si>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</si>
  <si>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</si>
  <si>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</si>
  <si>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</si>
  <si>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</si>
  <si>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</si>
  <si>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</si>
  <si>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</si>
  <si>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</si>
  <si>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</si>
  <si>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</si>
  <si>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</si>
  <si>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</si>
  <si>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</si>
  <si>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Refer to Table-1 on top right side  and select based on OverVoltage Clamp/Lockout,Overcurrent response and Latch-off/Auto-retry requirement</t>
  </si>
  <si>
    <t>Isc</t>
  </si>
  <si>
    <t>Scalable fast  trip threshold</t>
  </si>
  <si>
    <t>Select  Closest value as CITIMER_cal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</si>
</sst>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41"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
      <sz val="11"/>
      <color rgb="FFFF0000"/>
      <name val="Calibri"/>
      <family val="2"/>
      <scheme val="minor"/>
    </font>
    <font>
      <b/>
      <sz val="16"/>
      <name val="Calibri"/>
      <family val="2"/>
      <scheme val="minor"/>
    </font>
    <font>
      <b/>
      <i/>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85">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0" fontId="17"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2" fontId="8" fillId="0" borderId="0" xfId="0" applyNumberFormat="1" applyFont="1" applyAlignment="1">
      <alignment horizontal="left" vertical="center"/>
    </xf>
    <xf numFmtId="0" fontId="0" fillId="18" borderId="0" xfId="0" applyFill="1"/>
    <xf numFmtId="0" fontId="0" fillId="26" borderId="1" xfId="0" applyFill="1" applyBorder="1" applyAlignment="1">
      <alignment vertical="center"/>
    </xf>
    <xf numFmtId="0" fontId="35" fillId="26" borderId="1" xfId="0" applyFont="1" applyFill="1" applyBorder="1" applyAlignment="1">
      <alignment vertical="center" wrapText="1"/>
    </xf>
    <xf numFmtId="0" fontId="0" fillId="27"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Alignment="1">
      <alignment vertical="center"/>
    </xf>
    <xf numFmtId="0" fontId="27" fillId="29" borderId="1" xfId="0" applyFont="1" applyFill="1" applyBorder="1" applyAlignment="1">
      <alignment horizontal="center" vertical="center" wrapText="1"/>
    </xf>
    <xf numFmtId="0" fontId="1" fillId="30" borderId="1" xfId="0" applyFont="1" applyFill="1" applyBorder="1" applyAlignment="1">
      <alignment horizontal="center" vertical="center"/>
    </xf>
    <xf numFmtId="0" fontId="0" fillId="30" borderId="1" xfId="0" applyFill="1" applyBorder="1" applyAlignment="1">
      <alignment horizontal="center" vertical="center"/>
    </xf>
    <xf numFmtId="0" fontId="1" fillId="31" borderId="1" xfId="0" applyFont="1" applyFill="1" applyBorder="1" applyAlignment="1">
      <alignment horizontal="center" vertical="center"/>
    </xf>
    <xf numFmtId="0" fontId="0" fillId="31" borderId="1" xfId="0" applyFill="1" applyBorder="1" applyAlignment="1">
      <alignment horizontal="center" vertical="center"/>
    </xf>
    <xf numFmtId="0" fontId="0" fillId="30" borderId="1" xfId="0" applyFill="1" applyBorder="1" applyAlignment="1">
      <alignment horizontal="left" vertical="center" wrapText="1"/>
    </xf>
    <xf numFmtId="0" fontId="0" fillId="0" borderId="12" xfId="0" applyBorder="1" applyAlignment="1">
      <alignment horizontal="left" vertical="center"/>
    </xf>
    <xf numFmtId="0" fontId="0" fillId="0" borderId="6" xfId="0" applyBorder="1" applyAlignment="1">
      <alignment horizontal="left" vertical="center" wrapText="1"/>
    </xf>
    <xf numFmtId="49" fontId="39" fillId="16" borderId="6" xfId="0" applyNumberFormat="1" applyFont="1" applyFill="1" applyBorder="1" applyAlignment="1" applyProtection="1">
      <alignment vertical="center"/>
      <protection locked="0"/>
    </xf>
    <xf numFmtId="0" fontId="16" fillId="14" borderId="7" xfId="0" applyFont="1" applyFill="1" applyBorder="1" applyAlignment="1">
      <alignment horizontal="center" vertical="center"/>
    </xf>
    <xf numFmtId="2" fontId="0" fillId="16" borderId="0" xfId="0" applyNumberFormat="1" applyFill="1" applyAlignment="1" applyProtection="1">
      <alignment vertical="center"/>
      <protection locked="0"/>
    </xf>
    <xf numFmtId="0" fontId="0" fillId="0" borderId="26" xfId="0" applyBorder="1" applyAlignment="1">
      <alignment horizontal="left" vertical="center"/>
    </xf>
    <xf numFmtId="0" fontId="0" fillId="0" borderId="24" xfId="0" applyBorder="1" applyAlignment="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ill="1" applyBorder="1" applyAlignment="1">
      <alignment horizontal="left" vertical="center"/>
    </xf>
    <xf numFmtId="0" fontId="0" fillId="14" borderId="24" xfId="0" applyFill="1" applyBorder="1" applyAlignment="1">
      <alignment horizontal="left" vertical="center"/>
    </xf>
    <xf numFmtId="0" fontId="15" fillId="17" borderId="31" xfId="0" applyFont="1" applyFill="1" applyBorder="1" applyAlignment="1">
      <alignment horizontal="center" vertical="center" wrapText="1"/>
    </xf>
    <xf numFmtId="2" fontId="14" fillId="4" borderId="22" xfId="0" applyNumberFormat="1" applyFont="1" applyFill="1" applyBorder="1" applyAlignment="1">
      <alignment vertical="center"/>
    </xf>
    <xf numFmtId="0" fontId="8" fillId="5" borderId="22" xfId="0" applyFont="1" applyFill="1" applyBorder="1" applyAlignment="1">
      <alignment horizontal="center" vertical="center"/>
    </xf>
    <xf numFmtId="0" fontId="8" fillId="5" borderId="22" xfId="0" applyFont="1" applyFill="1" applyBorder="1" applyAlignment="1">
      <alignment horizontal="center" vertical="center" wrapText="1"/>
    </xf>
    <xf numFmtId="2" fontId="8" fillId="5" borderId="22" xfId="0" applyNumberFormat="1" applyFont="1" applyFill="1" applyBorder="1" applyAlignment="1">
      <alignment horizontal="right" vertical="center" indent="1"/>
    </xf>
    <xf numFmtId="0" fontId="8" fillId="5" borderId="22" xfId="0" applyFont="1" applyFill="1" applyBorder="1" applyAlignment="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lignment horizontal="right" vertical="center" wrapText="1" indent="1"/>
    </xf>
    <xf numFmtId="0" fontId="15" fillId="17" borderId="32" xfId="0" applyFont="1" applyFill="1" applyBorder="1" applyAlignment="1">
      <alignment vertical="center" wrapText="1"/>
    </xf>
    <xf numFmtId="0" fontId="0" fillId="0" borderId="33" xfId="0" applyBorder="1" applyAlignment="1">
      <alignment horizontal="left" vertical="center"/>
    </xf>
    <xf numFmtId="0" fontId="0" fillId="0" borderId="34" xfId="0" applyBorder="1" applyAlignment="1">
      <alignment horizontal="left" vertical="center" wrapText="1"/>
    </xf>
    <xf numFmtId="2" fontId="16" fillId="6" borderId="34" xfId="0" applyNumberFormat="1" applyFont="1" applyFill="1" applyBorder="1" applyAlignment="1">
      <alignment horizontal="right" vertical="center"/>
    </xf>
    <xf numFmtId="0" fontId="16" fillId="14" borderId="34" xfId="0" applyFont="1" applyFill="1" applyBorder="1" applyAlignment="1">
      <alignment horizontal="left" vertical="center"/>
    </xf>
    <xf numFmtId="0" fontId="16" fillId="4" borderId="9" xfId="0" applyFont="1" applyFill="1" applyBorder="1" applyAlignment="1">
      <alignment horizontal="right" vertical="center"/>
    </xf>
    <xf numFmtId="2" fontId="15" fillId="17" borderId="14" xfId="0" applyNumberFormat="1" applyFont="1" applyFill="1" applyBorder="1" applyAlignment="1">
      <alignment horizontal="right" vertical="center" wrapText="1" indent="1"/>
    </xf>
    <xf numFmtId="0" fontId="15" fillId="17" borderId="14" xfId="0" applyFont="1" applyFill="1" applyBorder="1" applyAlignment="1">
      <alignment vertical="center" wrapText="1"/>
    </xf>
    <xf numFmtId="0" fontId="16" fillId="14" borderId="6" xfId="0" applyFont="1" applyFill="1" applyBorder="1" applyAlignment="1">
      <alignment vertical="center" wrapText="1"/>
    </xf>
    <xf numFmtId="2" fontId="14" fillId="14" borderId="1" xfId="0" applyNumberFormat="1" applyFont="1" applyFill="1" applyBorder="1" applyAlignment="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Border="1" applyAlignment="1">
      <alignment horizontal="left" vertical="center" wrapText="1"/>
    </xf>
    <xf numFmtId="2" fontId="16" fillId="4" borderId="24" xfId="0" applyNumberFormat="1" applyFont="1" applyFill="1" applyBorder="1" applyAlignment="1">
      <alignment vertical="center"/>
    </xf>
    <xf numFmtId="0" fontId="14" fillId="14" borderId="24" xfId="0" applyFont="1" applyFill="1" applyBorder="1" applyAlignment="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lignment horizontal="center" vertical="center"/>
    </xf>
    <xf numFmtId="164" fontId="0" fillId="0" borderId="1" xfId="0" applyNumberFormat="1" applyBorder="1" applyAlignment="1">
      <alignment horizontal="left" vertical="center"/>
    </xf>
    <xf numFmtId="166" fontId="0" fillId="0" borderId="0" xfId="0" applyNumberFormat="1" applyAlignment="1">
      <alignment horizontal="left" vertical="center"/>
    </xf>
    <xf numFmtId="166" fontId="2" fillId="0" borderId="0" xfId="0" applyNumberFormat="1" applyFont="1" applyAlignment="1">
      <alignment horizontal="left" vertical="center"/>
    </xf>
    <xf numFmtId="166" fontId="0" fillId="0" borderId="0" xfId="0" applyNumberFormat="1" applyAlignment="1">
      <alignment horizontal="right" vertical="center"/>
    </xf>
    <xf numFmtId="166" fontId="17" fillId="0" borderId="0" xfId="0" applyNumberFormat="1" applyFont="1" applyAlignment="1">
      <alignment vertical="center"/>
    </xf>
    <xf numFmtId="166" fontId="0" fillId="0" borderId="0" xfId="0" applyNumberFormat="1" applyAlignment="1" applyProtection="1">
      <alignment vertical="center"/>
      <protection hidden="1"/>
    </xf>
    <xf numFmtId="166" fontId="0" fillId="0" borderId="0" xfId="0" applyNumberFormat="1"/>
    <xf numFmtId="0" fontId="5" fillId="0" borderId="6" xfId="0" applyFont="1" applyBorder="1" applyAlignment="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ill="1" applyBorder="1" applyAlignment="1" applyProtection="1">
      <alignment vertical="center"/>
      <protection hidden="1"/>
    </xf>
    <xf numFmtId="0" fontId="0" fillId="22" borderId="22" xfId="0"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ill="1" applyBorder="1" applyAlignment="1" applyProtection="1">
      <alignment vertical="center"/>
      <protection hidden="1"/>
    </xf>
    <xf numFmtId="0" fontId="0" fillId="25" borderId="22" xfId="0"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lignment horizontal="right" vertical="center" indent="1"/>
    </xf>
    <xf numFmtId="0" fontId="34" fillId="14" borderId="22" xfId="0" applyFont="1" applyFill="1" applyBorder="1" applyAlignment="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lignment horizontal="right" vertical="center" indent="1"/>
    </xf>
    <xf numFmtId="0" fontId="14" fillId="14" borderId="22" xfId="0" applyFont="1" applyFill="1" applyBorder="1" applyAlignment="1">
      <alignment horizontal="left" vertical="center"/>
    </xf>
    <xf numFmtId="2" fontId="16" fillId="4" borderId="22" xfId="0" applyNumberFormat="1" applyFont="1" applyFill="1" applyBorder="1" applyAlignment="1">
      <alignment vertical="center"/>
    </xf>
    <xf numFmtId="0" fontId="16" fillId="14" borderId="22" xfId="0" applyFont="1" applyFill="1" applyBorder="1" applyAlignment="1">
      <alignment horizontal="left" vertical="center"/>
    </xf>
    <xf numFmtId="0" fontId="0" fillId="0" borderId="22" xfId="0" applyBorder="1" applyAlignment="1">
      <alignment horizontal="left" vertical="center"/>
    </xf>
    <xf numFmtId="0" fontId="0" fillId="0" borderId="22" xfId="0" applyBorder="1" applyAlignment="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166" fontId="17" fillId="0" borderId="0" xfId="0" applyNumberFormat="1" applyFont="1" applyAlignment="1">
      <alignment horizontal="center" vertical="center"/>
    </xf>
    <xf numFmtId="166" fontId="0" fillId="0" borderId="0" xfId="0" applyNumberFormat="1" applyAlignment="1">
      <alignment horizontal="center" vertical="center"/>
    </xf>
    <xf numFmtId="166" fontId="0" fillId="22" borderId="0" xfId="0" applyNumberFormat="1" applyFill="1" applyAlignment="1">
      <alignment horizontal="center" vertical="center"/>
    </xf>
    <xf numFmtId="166" fontId="0" fillId="22" borderId="0" xfId="0" applyNumberFormat="1" applyFill="1" applyAlignment="1">
      <alignment vertical="center"/>
    </xf>
    <xf numFmtId="0" fontId="0" fillId="15" borderId="22" xfId="0" applyFill="1" applyBorder="1" applyAlignment="1" applyProtection="1">
      <alignment vertical="center" wrapText="1"/>
      <protection locked="0"/>
    </xf>
    <xf numFmtId="0" fontId="9" fillId="0" borderId="25" xfId="0" applyFont="1" applyBorder="1" applyAlignment="1">
      <alignment horizontal="center" vertical="center"/>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17" xfId="0" applyFont="1" applyFill="1" applyBorder="1" applyAlignment="1">
      <alignment horizontal="left" vertical="center" wrapText="1"/>
    </xf>
    <xf numFmtId="0" fontId="1" fillId="0" borderId="18" xfId="0" applyFont="1" applyBorder="1" applyAlignment="1">
      <alignment horizontal="left" vertical="center"/>
    </xf>
    <xf numFmtId="0" fontId="1" fillId="0" borderId="4" xfId="0" applyFont="1" applyBorder="1" applyAlignment="1">
      <alignment horizontal="left" vertical="center"/>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0" fillId="17" borderId="28" xfId="0" applyFont="1" applyFill="1" applyBorder="1" applyAlignment="1">
      <alignment horizontal="left" vertical="center" wrapText="1"/>
    </xf>
    <xf numFmtId="0" fontId="20" fillId="17" borderId="29" xfId="0" applyFont="1" applyFill="1" applyBorder="1" applyAlignment="1">
      <alignment horizontal="left" vertical="center" wrapText="1"/>
    </xf>
    <xf numFmtId="0" fontId="20" fillId="17" borderId="30" xfId="0" applyFont="1" applyFill="1" applyBorder="1" applyAlignment="1">
      <alignment horizontal="left" vertical="center" wrapText="1"/>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9" xfId="0" applyFont="1" applyBorder="1" applyAlignment="1">
      <alignment horizontal="left" vertical="center"/>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20" fillId="17" borderId="28" xfId="0" applyFont="1" applyFill="1" applyBorder="1" applyAlignment="1">
      <alignment horizontal="left" vertical="center"/>
    </xf>
    <xf numFmtId="0" fontId="20" fillId="17" borderId="30" xfId="0" applyFont="1" applyFill="1" applyBorder="1" applyAlignment="1">
      <alignment horizontal="left" vertical="center"/>
    </xf>
    <xf numFmtId="0" fontId="20" fillId="17" borderId="17" xfId="0" applyFont="1" applyFill="1" applyBorder="1" applyAlignment="1">
      <alignment horizontal="left" vertical="center"/>
    </xf>
    <xf numFmtId="0" fontId="20" fillId="17" borderId="22" xfId="0" applyFont="1" applyFill="1" applyBorder="1" applyAlignment="1">
      <alignment horizontal="left" vertical="center" wrapText="1"/>
    </xf>
    <xf numFmtId="0" fontId="1" fillId="0" borderId="22" xfId="0" applyFont="1" applyBorder="1" applyAlignment="1">
      <alignment horizontal="lef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12" borderId="1" xfId="0" applyFill="1" applyBorder="1" applyAlignment="1">
      <alignment horizontal="center" vertical="center"/>
    </xf>
    <xf numFmtId="0" fontId="9" fillId="0" borderId="0" xfId="0" applyFont="1" applyAlignment="1">
      <alignment horizontal="center"/>
    </xf>
    <xf numFmtId="0" fontId="0" fillId="9" borderId="1" xfId="0" applyFill="1" applyBorder="1" applyAlignment="1">
      <alignment horizontal="center" vertical="center"/>
    </xf>
    <xf numFmtId="0" fontId="0" fillId="10" borderId="1" xfId="0" applyFill="1" applyBorder="1" applyAlignment="1">
      <alignment horizontal="center" vertical="center"/>
    </xf>
  </cellXfs>
  <cellStyles count="5">
    <cellStyle name="Bad" xfId="4" builtinId="27"/>
    <cellStyle name="Good" xfId="3" builtinId="26"/>
    <cellStyle name="Hyperlink" xfId="2" builtinId="8"/>
    <cellStyle name="Normal" xfId="0" builtinId="0"/>
    <cellStyle name="Percent" xfId="1" builtinId="5"/>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Sheet'!$K$43:$K$46</c:f>
              <c:strCache>
                <c:ptCount val="4"/>
                <c:pt idx="0">
                  <c:v>Power Fail (VIN Falling)</c:v>
                </c:pt>
                <c:pt idx="1">
                  <c:v>Release UVLO (VIN Rising)</c:v>
                </c:pt>
                <c:pt idx="2">
                  <c:v>Release OVLO (VIN Falling)</c:v>
                </c:pt>
                <c:pt idx="3">
                  <c:v>OV Cutoff (VIN Rising)</c:v>
                </c:pt>
              </c:strCache>
            </c:strRef>
          </c:cat>
          <c:val>
            <c:numRef>
              <c:f>'Calculation Sheet'!$J$43:$J$46</c:f>
              <c:numCache>
                <c:formatCode>0.00</c:formatCode>
                <c:ptCount val="4"/>
                <c:pt idx="0">
                  <c:v>2.4713527851458887</c:v>
                </c:pt>
                <c:pt idx="1">
                  <c:v>2.6960212201591514</c:v>
                </c:pt>
                <c:pt idx="2">
                  <c:v>3.4895131086142324</c:v>
                </c:pt>
                <c:pt idx="3">
                  <c:v>3.8067415730337077</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en-CH"/>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multiLvlStrRef>
              <c:f>'Calculation Sheet'!$L$32:$L$34</c:f>
            </c:multiLvlStrRef>
          </c:cat>
          <c:val>
            <c:numRef>
              <c:f>'Calculation Sheet'!$K$32:$K$34</c:f>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9E96B377-4395-4EE4-842E-E9A5AB88B581}" type="CELLRANGE">
                      <a:rPr lang="en-US"/>
                      <a:pPr/>
                      <a:t>[CELLRANGE]</a:t>
                    </a:fld>
                    <a:r>
                      <a:rPr lang="en-US" baseline="0"/>
                      <a:t>, </a:t>
                    </a:r>
                    <a:fld id="{289D42E3-5EAB-4743-A58E-114681414901}"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995-497E-B402-015BDC7A9548}"/>
                </c:ext>
              </c:extLst>
            </c:dLbl>
            <c:dLbl>
              <c:idx val="1"/>
              <c:tx>
                <c:rich>
                  <a:bodyPr/>
                  <a:lstStyle/>
                  <a:p>
                    <a:fld id="{0CE89EBA-580F-490A-8152-1B2C3EBAE287}" type="CELLRANGE">
                      <a:rPr lang="en-US"/>
                      <a:pPr/>
                      <a:t>[CELLRANGE]</a:t>
                    </a:fld>
                    <a:r>
                      <a:rPr lang="en-US" baseline="0"/>
                      <a:t>, </a:t>
                    </a:r>
                    <a:fld id="{7754B6D7-DC5A-4B1A-940E-6F18D3091E04}"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2.9411764705882353E-2</c:v>
                </c:pt>
                <c:pt idx="1">
                  <c:v>0.55198675496688743</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2263706</xdr:colOff>
      <xdr:row>9</xdr:row>
      <xdr:rowOff>266291</xdr:rowOff>
    </xdr:from>
    <xdr:to>
      <xdr:col>19</xdr:col>
      <xdr:colOff>1761613</xdr:colOff>
      <xdr:row>46</xdr:row>
      <xdr:rowOff>174113</xdr:rowOff>
    </xdr:to>
    <xdr:pic>
      <xdr:nvPicPr>
        <xdr:cNvPr id="2" name="Picture 1">
          <a:extLst>
            <a:ext uri="{FF2B5EF4-FFF2-40B4-BE49-F238E27FC236}">
              <a16:creationId xmlns:a16="http://schemas.microsoft.com/office/drawing/2014/main" id="{51403824-FD94-4176-B31E-0D0A198B18CE}"/>
            </a:ext>
          </a:extLst>
        </xdr:cNvPr>
        <xdr:cNvPicPr>
          <a:picLocks noChangeAspect="1"/>
        </xdr:cNvPicPr>
      </xdr:nvPicPr>
      <xdr:blipFill>
        <a:blip xmlns:r="http://schemas.openxmlformats.org/officeDocument/2006/relationships" r:embed="rId4"/>
        <a:stretch>
          <a:fillRect/>
        </a:stretch>
      </xdr:blipFill>
      <xdr:spPr>
        <a:xfrm>
          <a:off x="20371448" y="2990646"/>
          <a:ext cx="9872988" cy="5356532"/>
        </a:xfrm>
        <a:prstGeom prst="rect">
          <a:avLst/>
        </a:prstGeom>
        <a:ln w="47625">
          <a:solidFill>
            <a:schemeClr val="accent1"/>
          </a:solidFill>
        </a:ln>
      </xdr:spPr>
    </xdr:pic>
    <xdr:clientData/>
  </xdr:twoCellAnchor>
  <xdr:twoCellAnchor editAs="oneCell">
    <xdr:from>
      <xdr:col>9</xdr:col>
      <xdr:colOff>1</xdr:colOff>
      <xdr:row>1</xdr:row>
      <xdr:rowOff>112661</xdr:rowOff>
    </xdr:from>
    <xdr:to>
      <xdr:col>14</xdr:col>
      <xdr:colOff>388926</xdr:colOff>
      <xdr:row>17</xdr:row>
      <xdr:rowOff>211920</xdr:rowOff>
    </xdr:to>
    <xdr:pic>
      <xdr:nvPicPr>
        <xdr:cNvPr id="3" name="Picture 2">
          <a:extLst>
            <a:ext uri="{FF2B5EF4-FFF2-40B4-BE49-F238E27FC236}">
              <a16:creationId xmlns:a16="http://schemas.microsoft.com/office/drawing/2014/main" id="{4CCE6F2A-00F2-4C2A-B65B-DA6C1E3917F7}"/>
            </a:ext>
          </a:extLst>
        </xdr:cNvPr>
        <xdr:cNvPicPr>
          <a:picLocks noChangeAspect="1"/>
        </xdr:cNvPicPr>
      </xdr:nvPicPr>
      <xdr:blipFill>
        <a:blip xmlns:r="http://schemas.openxmlformats.org/officeDocument/2006/relationships" r:embed="rId5"/>
        <a:stretch>
          <a:fillRect/>
        </a:stretch>
      </xdr:blipFill>
      <xdr:spPr>
        <a:xfrm>
          <a:off x="11430001" y="337984"/>
          <a:ext cx="7066667" cy="3980952"/>
        </a:xfrm>
        <a:prstGeom prst="rect">
          <a:avLst/>
        </a:prstGeom>
        <a:ln w="412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28"/>
  <sheetViews>
    <sheetView showGridLines="0" tabSelected="1" topLeftCell="A5" zoomScaleNormal="100" workbookViewId="0">
      <selection activeCell="D19" sqref="D19"/>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7.42578125" style="18"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5.5703125" style="17" customWidth="1"/>
    <col min="17" max="17" width="34.85546875" style="17" customWidth="1"/>
    <col min="18" max="20" width="31" style="17" customWidth="1"/>
    <col min="21" max="21" width="27.42578125" style="19" customWidth="1"/>
    <col min="22" max="22" width="14.42578125" style="19" bestFit="1" customWidth="1"/>
    <col min="23" max="23" width="9.140625" style="17"/>
    <col min="24" max="24" width="19.7109375" style="17" customWidth="1"/>
    <col min="25" max="25" width="28.42578125" style="17" customWidth="1"/>
    <col min="26" max="26" width="16.85546875" style="17" customWidth="1"/>
    <col min="27" max="27" width="22" style="17" customWidth="1"/>
    <col min="28" max="16384" width="9.140625" style="17"/>
  </cols>
  <sheetData>
    <row r="1" spans="2:25" ht="18" customHeight="1" x14ac:dyDescent="0.25">
      <c r="B1" s="267" t="s">
        <v>170</v>
      </c>
      <c r="C1" s="268"/>
      <c r="D1" s="268"/>
      <c r="E1" s="268"/>
      <c r="F1" s="268"/>
      <c r="G1" s="268"/>
      <c r="N1"/>
      <c r="O1"/>
      <c r="P1"/>
    </row>
    <row r="2" spans="2:25" ht="21" x14ac:dyDescent="0.25">
      <c r="B2" s="48"/>
      <c r="C2" s="48"/>
      <c r="N2"/>
      <c r="O2"/>
      <c r="P2" s="255" t="s">
        <v>171</v>
      </c>
      <c r="Q2" s="255"/>
      <c r="R2" s="255"/>
      <c r="S2" s="255"/>
      <c r="T2" s="255"/>
      <c r="U2" s="255"/>
    </row>
    <row r="3" spans="2:25" ht="27.95" customHeight="1" x14ac:dyDescent="0.25">
      <c r="B3" s="85"/>
      <c r="C3" s="50" t="s">
        <v>30</v>
      </c>
      <c r="N3"/>
      <c r="O3"/>
      <c r="P3" s="160" t="s">
        <v>172</v>
      </c>
      <c r="Q3" s="160" t="s">
        <v>173</v>
      </c>
      <c r="R3" s="160" t="s">
        <v>178</v>
      </c>
      <c r="S3" s="160" t="s">
        <v>179</v>
      </c>
      <c r="T3" s="160" t="s">
        <v>180</v>
      </c>
      <c r="U3" s="160" t="s">
        <v>174</v>
      </c>
      <c r="W3" s="17">
        <v>3.8</v>
      </c>
      <c r="X3" s="17">
        <v>5.7</v>
      </c>
      <c r="Y3" s="17">
        <v>13.8</v>
      </c>
    </row>
    <row r="4" spans="2:25" ht="25.5" customHeight="1" x14ac:dyDescent="0.25">
      <c r="B4" s="31"/>
      <c r="C4" s="47" t="s">
        <v>31</v>
      </c>
      <c r="N4"/>
      <c r="O4"/>
      <c r="P4" s="161" t="s">
        <v>190</v>
      </c>
      <c r="Q4" s="162" t="s">
        <v>177</v>
      </c>
      <c r="R4" s="162" t="s">
        <v>183</v>
      </c>
      <c r="S4" s="162" t="s">
        <v>185</v>
      </c>
      <c r="T4" s="162" t="s">
        <v>187</v>
      </c>
      <c r="U4" s="162" t="s">
        <v>188</v>
      </c>
      <c r="W4" s="17" t="s">
        <v>214</v>
      </c>
      <c r="X4" s="17" t="s">
        <v>215</v>
      </c>
      <c r="Y4" s="17">
        <v>390</v>
      </c>
    </row>
    <row r="5" spans="2:25" ht="26.45" customHeight="1" x14ac:dyDescent="0.25">
      <c r="B5" s="20"/>
      <c r="C5" s="51" t="s">
        <v>32</v>
      </c>
      <c r="N5"/>
      <c r="O5"/>
      <c r="P5" s="163" t="s">
        <v>191</v>
      </c>
      <c r="Q5" s="162" t="s">
        <v>177</v>
      </c>
      <c r="R5" s="162" t="s">
        <v>183</v>
      </c>
      <c r="S5" s="162" t="s">
        <v>185</v>
      </c>
      <c r="T5" s="162" t="s">
        <v>187</v>
      </c>
      <c r="U5" s="164" t="s">
        <v>175</v>
      </c>
    </row>
    <row r="6" spans="2:25" ht="23.45" customHeight="1" x14ac:dyDescent="0.25">
      <c r="B6" s="33"/>
      <c r="C6" s="47" t="s">
        <v>68</v>
      </c>
      <c r="D6" s="49"/>
      <c r="G6" s="49"/>
      <c r="M6" s="101"/>
      <c r="N6"/>
      <c r="O6"/>
      <c r="P6" s="161" t="s">
        <v>192</v>
      </c>
      <c r="Q6" s="165" t="s">
        <v>181</v>
      </c>
      <c r="R6" s="162" t="s">
        <v>183</v>
      </c>
      <c r="S6" s="162" t="s">
        <v>186</v>
      </c>
      <c r="T6" s="162" t="s">
        <v>130</v>
      </c>
      <c r="U6" s="162" t="s">
        <v>188</v>
      </c>
      <c r="W6" s="102"/>
    </row>
    <row r="7" spans="2:25" ht="24" customHeight="1" x14ac:dyDescent="0.25">
      <c r="B7" s="45"/>
      <c r="C7" s="52" t="s">
        <v>92</v>
      </c>
      <c r="G7" s="49"/>
      <c r="M7" s="103"/>
      <c r="N7" s="102"/>
      <c r="O7" s="19"/>
      <c r="P7" s="163" t="s">
        <v>193</v>
      </c>
      <c r="Q7" s="165" t="s">
        <v>182</v>
      </c>
      <c r="R7" s="162" t="s">
        <v>183</v>
      </c>
      <c r="S7" s="162" t="s">
        <v>186</v>
      </c>
      <c r="T7" s="162" t="s">
        <v>130</v>
      </c>
      <c r="U7" s="164" t="s">
        <v>175</v>
      </c>
      <c r="W7" s="19"/>
    </row>
    <row r="8" spans="2:25" ht="18" customHeight="1" thickBot="1" x14ac:dyDescent="0.3">
      <c r="B8" s="38"/>
      <c r="C8" s="39"/>
      <c r="D8" s="40"/>
      <c r="E8" s="41"/>
      <c r="F8" s="42"/>
      <c r="G8" s="37"/>
      <c r="M8" s="103"/>
      <c r="N8" s="102"/>
      <c r="O8" s="19"/>
      <c r="P8" s="163" t="s">
        <v>194</v>
      </c>
      <c r="Q8" s="162" t="s">
        <v>177</v>
      </c>
      <c r="R8" s="162" t="s">
        <v>184</v>
      </c>
      <c r="S8" s="162" t="s">
        <v>186</v>
      </c>
      <c r="T8" s="162" t="s">
        <v>130</v>
      </c>
      <c r="U8" s="164" t="s">
        <v>176</v>
      </c>
      <c r="W8" s="19"/>
    </row>
    <row r="9" spans="2:25" ht="30.75" thickBot="1" x14ac:dyDescent="0.3">
      <c r="B9" s="59" t="s">
        <v>0</v>
      </c>
      <c r="C9" s="60" t="s">
        <v>1</v>
      </c>
      <c r="D9" s="97" t="s">
        <v>2</v>
      </c>
      <c r="E9" s="98" t="s">
        <v>3</v>
      </c>
      <c r="F9" s="61" t="s">
        <v>50</v>
      </c>
      <c r="G9" s="130" t="s">
        <v>121</v>
      </c>
      <c r="M9" s="104"/>
      <c r="N9" s="102"/>
      <c r="O9" s="19"/>
      <c r="P9" s="163" t="s">
        <v>195</v>
      </c>
      <c r="Q9" s="162" t="s">
        <v>177</v>
      </c>
      <c r="R9" s="162" t="s">
        <v>184</v>
      </c>
      <c r="S9" s="162" t="s">
        <v>186</v>
      </c>
      <c r="T9" s="162" t="s">
        <v>130</v>
      </c>
      <c r="U9" s="164" t="s">
        <v>175</v>
      </c>
      <c r="W9" s="19"/>
    </row>
    <row r="10" spans="2:25" ht="30.95" customHeight="1" x14ac:dyDescent="0.25">
      <c r="B10" s="166" t="s">
        <v>189</v>
      </c>
      <c r="C10" s="210" t="s">
        <v>240</v>
      </c>
      <c r="D10" s="168" t="s">
        <v>194</v>
      </c>
      <c r="E10" s="62"/>
      <c r="F10" s="169"/>
      <c r="P10"/>
      <c r="Q10"/>
      <c r="R10"/>
      <c r="S10"/>
      <c r="T10"/>
      <c r="U10"/>
      <c r="W10" s="19"/>
    </row>
    <row r="11" spans="2:25" ht="30.95" hidden="1" customHeight="1" x14ac:dyDescent="0.25">
      <c r="B11" s="71" t="s">
        <v>72</v>
      </c>
      <c r="C11" s="73" t="s">
        <v>102</v>
      </c>
      <c r="D11" s="134">
        <v>12</v>
      </c>
      <c r="E11" s="21" t="s">
        <v>6</v>
      </c>
      <c r="F11" s="27"/>
      <c r="P11"/>
      <c r="Q11"/>
      <c r="R11"/>
      <c r="S11"/>
      <c r="T11"/>
      <c r="U11"/>
      <c r="W11" s="19"/>
    </row>
    <row r="12" spans="2:25" ht="13.5" customHeight="1" x14ac:dyDescent="0.25">
      <c r="B12" s="71" t="s">
        <v>72</v>
      </c>
      <c r="C12" s="73" t="s">
        <v>102</v>
      </c>
      <c r="D12" s="134">
        <v>3.3</v>
      </c>
      <c r="E12" s="21" t="s">
        <v>6</v>
      </c>
      <c r="F12" s="27"/>
      <c r="P12"/>
      <c r="Q12"/>
      <c r="R12"/>
      <c r="S12"/>
      <c r="T12"/>
      <c r="U12"/>
      <c r="W12" s="19"/>
    </row>
    <row r="13" spans="2:25" ht="19.5" hidden="1" customHeight="1" x14ac:dyDescent="0.25">
      <c r="B13" s="71" t="s">
        <v>198</v>
      </c>
      <c r="C13" s="73" t="s">
        <v>199</v>
      </c>
      <c r="D13" s="134">
        <v>13.8</v>
      </c>
      <c r="E13" s="22" t="s">
        <v>6</v>
      </c>
      <c r="F13" s="89">
        <v>3.5000000000000003E-2</v>
      </c>
      <c r="P13"/>
      <c r="Q13"/>
      <c r="R13"/>
      <c r="S13"/>
      <c r="T13"/>
      <c r="U13"/>
      <c r="W13" s="19"/>
    </row>
    <row r="14" spans="2:25" ht="15.95" hidden="1" customHeight="1" x14ac:dyDescent="0.25">
      <c r="B14" s="71" t="s">
        <v>196</v>
      </c>
      <c r="C14" s="73" t="s">
        <v>197</v>
      </c>
      <c r="D14" s="170">
        <f>IF(D10=P4,D12, IF(D10=P5,D12, IF(D10=P6,D11, IF(D10=P7,D11,IF(D10=P8,D12,D12)))))</f>
        <v>3.3</v>
      </c>
      <c r="E14" s="21" t="s">
        <v>6</v>
      </c>
      <c r="F14" s="27"/>
      <c r="P14"/>
      <c r="Q14"/>
      <c r="R14"/>
      <c r="S14"/>
      <c r="T14"/>
      <c r="U14"/>
      <c r="W14" s="19"/>
    </row>
    <row r="15" spans="2:25" ht="15.6" customHeight="1" x14ac:dyDescent="0.25">
      <c r="B15" s="71" t="s">
        <v>103</v>
      </c>
      <c r="C15" s="73" t="s">
        <v>104</v>
      </c>
      <c r="D15" s="134">
        <v>3.8</v>
      </c>
      <c r="E15" s="22" t="s">
        <v>6</v>
      </c>
      <c r="F15" s="89">
        <v>0.03</v>
      </c>
      <c r="I15"/>
      <c r="J15"/>
      <c r="K15"/>
      <c r="L15"/>
      <c r="M15" s="104"/>
      <c r="N15" s="42"/>
      <c r="O15" s="42"/>
      <c r="P15"/>
      <c r="Q15"/>
      <c r="R15"/>
      <c r="S15"/>
      <c r="T15"/>
      <c r="U15"/>
      <c r="W15" s="19"/>
    </row>
    <row r="16" spans="2:25" ht="15.75" x14ac:dyDescent="0.25">
      <c r="B16" s="71" t="s">
        <v>122</v>
      </c>
      <c r="C16" s="73" t="s">
        <v>105</v>
      </c>
      <c r="D16" s="134">
        <v>2.7</v>
      </c>
      <c r="E16" s="21" t="s">
        <v>6</v>
      </c>
      <c r="F16" s="89">
        <v>0.03</v>
      </c>
      <c r="M16" s="107"/>
      <c r="U16" s="108"/>
      <c r="V16" s="108"/>
      <c r="W16" s="19"/>
    </row>
    <row r="17" spans="2:23" ht="34.35" customHeight="1" x14ac:dyDescent="0.25">
      <c r="B17" s="71" t="s">
        <v>93</v>
      </c>
      <c r="C17" s="93" t="s">
        <v>94</v>
      </c>
      <c r="D17" s="135">
        <v>2.5299999999999998</v>
      </c>
      <c r="E17" s="21" t="s">
        <v>6</v>
      </c>
      <c r="F17" s="89">
        <v>0.03</v>
      </c>
      <c r="G17" s="124"/>
      <c r="M17" s="106"/>
      <c r="N17" s="104"/>
      <c r="O17" s="105"/>
      <c r="P17" s="104"/>
      <c r="Q17" s="104"/>
      <c r="R17" s="104"/>
      <c r="S17" s="104"/>
      <c r="T17" s="104"/>
      <c r="U17" s="42"/>
      <c r="V17" s="42"/>
      <c r="W17" s="19"/>
    </row>
    <row r="18" spans="2:23" ht="18" customHeight="1" x14ac:dyDescent="0.25">
      <c r="B18" s="71" t="s">
        <v>9</v>
      </c>
      <c r="C18" s="73" t="s">
        <v>10</v>
      </c>
      <c r="D18" s="119">
        <v>100</v>
      </c>
      <c r="E18" s="21" t="s">
        <v>11</v>
      </c>
      <c r="F18" s="99">
        <v>0.1</v>
      </c>
      <c r="G18" s="124"/>
      <c r="M18" s="107"/>
      <c r="N18" s="103"/>
      <c r="O18" s="103"/>
      <c r="P18" s="103"/>
      <c r="Q18" s="105"/>
      <c r="R18" s="105"/>
      <c r="S18" s="105"/>
      <c r="T18" s="105"/>
      <c r="U18" s="108"/>
      <c r="V18" s="108"/>
      <c r="W18" s="19"/>
    </row>
    <row r="19" spans="2:23" ht="15" x14ac:dyDescent="0.25">
      <c r="B19" s="71" t="s">
        <v>35</v>
      </c>
      <c r="C19" s="143" t="s">
        <v>124</v>
      </c>
      <c r="D19" s="119">
        <v>10</v>
      </c>
      <c r="E19" s="21" t="s">
        <v>36</v>
      </c>
      <c r="F19" s="27"/>
      <c r="G19" s="131">
        <f>Vcc_max/Imax</f>
        <v>6.6</v>
      </c>
      <c r="M19" s="106"/>
      <c r="N19" s="104"/>
      <c r="O19" s="104"/>
      <c r="P19" s="104"/>
      <c r="Q19" s="104"/>
      <c r="R19" s="104"/>
      <c r="S19" s="104"/>
      <c r="T19" s="104"/>
      <c r="U19" s="42"/>
      <c r="V19" s="42"/>
      <c r="W19" s="19"/>
    </row>
    <row r="20" spans="2:23" ht="15" x14ac:dyDescent="0.25">
      <c r="B20" s="71" t="s">
        <v>155</v>
      </c>
      <c r="C20" s="143" t="s">
        <v>154</v>
      </c>
      <c r="D20" s="152">
        <v>0</v>
      </c>
      <c r="E20" s="21" t="s">
        <v>6</v>
      </c>
      <c r="F20" s="27"/>
      <c r="G20"/>
      <c r="M20" s="106"/>
      <c r="N20" s="104"/>
      <c r="O20" s="104"/>
      <c r="P20" s="104"/>
      <c r="Q20" s="104"/>
      <c r="R20" s="104"/>
      <c r="S20" s="104"/>
      <c r="T20" s="104"/>
      <c r="U20" s="42"/>
      <c r="V20" s="42"/>
      <c r="W20" s="19"/>
    </row>
    <row r="21" spans="2:23" ht="18" customHeight="1" x14ac:dyDescent="0.25">
      <c r="B21" s="71" t="s">
        <v>12</v>
      </c>
      <c r="C21" s="73" t="s">
        <v>13</v>
      </c>
      <c r="D21" s="134">
        <v>0.5</v>
      </c>
      <c r="E21" s="21" t="s">
        <v>4</v>
      </c>
      <c r="F21" s="27"/>
      <c r="G21" s="124"/>
      <c r="M21" s="107"/>
      <c r="N21" s="103"/>
      <c r="O21" s="103"/>
      <c r="P21" s="103"/>
      <c r="Q21" s="103"/>
      <c r="R21" s="103"/>
      <c r="S21" s="103"/>
      <c r="T21" s="103"/>
      <c r="U21" s="108"/>
      <c r="V21" s="108"/>
      <c r="W21" s="19"/>
    </row>
    <row r="22" spans="2:23" ht="18" customHeight="1" x14ac:dyDescent="0.25">
      <c r="B22" s="71" t="s">
        <v>200</v>
      </c>
      <c r="C22" s="73" t="s">
        <v>201</v>
      </c>
      <c r="D22" s="174">
        <f>IF(1.105*Imax&lt;0.5, 0.5, IF(1.105*Imax&gt;6, 6,1.105*Imax ))</f>
        <v>0.55249999999999999</v>
      </c>
      <c r="E22" s="175" t="s">
        <v>4</v>
      </c>
      <c r="F22" s="27"/>
      <c r="G22" s="124"/>
      <c r="M22" s="107"/>
      <c r="N22" s="103"/>
      <c r="O22" s="103"/>
      <c r="P22" s="103"/>
      <c r="Q22" s="103"/>
      <c r="R22" s="103"/>
      <c r="S22" s="103"/>
      <c r="T22" s="103"/>
      <c r="U22" s="108"/>
      <c r="V22" s="108"/>
      <c r="W22" s="19"/>
    </row>
    <row r="23" spans="2:23" ht="18" customHeight="1" x14ac:dyDescent="0.25">
      <c r="B23" s="171" t="s">
        <v>203</v>
      </c>
      <c r="C23" s="172" t="s">
        <v>202</v>
      </c>
      <c r="D23" s="152">
        <v>0</v>
      </c>
      <c r="E23" s="176" t="s">
        <v>5</v>
      </c>
      <c r="F23" s="173"/>
      <c r="G23" s="124"/>
      <c r="M23" s="107"/>
      <c r="N23" s="103"/>
      <c r="O23" s="103"/>
      <c r="P23" s="103"/>
      <c r="Q23" s="103"/>
      <c r="R23" s="103"/>
      <c r="S23" s="103"/>
      <c r="T23" s="103"/>
      <c r="U23" s="108"/>
      <c r="V23" s="108"/>
      <c r="W23" s="19"/>
    </row>
    <row r="24" spans="2:23" ht="18" customHeight="1" thickBot="1" x14ac:dyDescent="0.3">
      <c r="B24" s="72" t="s">
        <v>117</v>
      </c>
      <c r="C24" s="74" t="s">
        <v>118</v>
      </c>
      <c r="D24" s="136">
        <v>85</v>
      </c>
      <c r="E24" s="43" t="s">
        <v>119</v>
      </c>
      <c r="F24" s="44"/>
      <c r="G24" s="124"/>
      <c r="M24" s="106"/>
      <c r="N24" s="104"/>
      <c r="O24" s="104"/>
      <c r="P24" s="104"/>
      <c r="Q24" s="104"/>
      <c r="R24" s="104"/>
      <c r="S24" s="104"/>
      <c r="T24" s="104"/>
      <c r="U24" s="42"/>
      <c r="V24" s="42"/>
      <c r="W24" s="19"/>
    </row>
    <row r="25" spans="2:23" ht="15" x14ac:dyDescent="0.25">
      <c r="B25"/>
      <c r="C25"/>
      <c r="D25"/>
      <c r="E25"/>
      <c r="F25"/>
      <c r="G25" s="124"/>
      <c r="M25" s="106"/>
      <c r="N25" s="104"/>
      <c r="O25" s="104"/>
      <c r="P25" s="104"/>
      <c r="Q25" s="104"/>
      <c r="R25" s="104"/>
      <c r="S25" s="104"/>
      <c r="T25" s="104"/>
      <c r="U25" s="42"/>
      <c r="V25" s="42"/>
      <c r="W25" s="19"/>
    </row>
    <row r="26" spans="2:23" ht="21.75" hidden="1" thickBot="1" x14ac:dyDescent="0.3">
      <c r="B26" s="274" t="s">
        <v>216</v>
      </c>
      <c r="C26" s="275"/>
      <c r="D26" s="185"/>
      <c r="E26" s="186"/>
      <c r="F26" s="177"/>
      <c r="G26" s="124"/>
      <c r="M26" s="107"/>
      <c r="N26" s="103"/>
      <c r="O26" s="103"/>
      <c r="P26" s="103"/>
      <c r="Q26" s="103"/>
      <c r="R26" s="103"/>
      <c r="S26" s="103"/>
      <c r="T26" s="103"/>
      <c r="U26" s="108"/>
      <c r="V26" s="108"/>
      <c r="W26" s="19"/>
    </row>
    <row r="27" spans="2:23" hidden="1" x14ac:dyDescent="0.25">
      <c r="B27" s="187" t="s">
        <v>210</v>
      </c>
      <c r="C27" s="188" t="s">
        <v>211</v>
      </c>
      <c r="D27" s="189">
        <f>D13</f>
        <v>13.8</v>
      </c>
      <c r="E27" s="190" t="s">
        <v>6</v>
      </c>
      <c r="F27" s="89">
        <v>3.5000000000000003E-2</v>
      </c>
      <c r="G27" s="123"/>
    </row>
    <row r="28" spans="2:23" ht="15.75" hidden="1" thickBot="1" x14ac:dyDescent="0.3">
      <c r="B28" s="72" t="s">
        <v>212</v>
      </c>
      <c r="C28" s="74" t="s">
        <v>213</v>
      </c>
      <c r="D28" s="191">
        <f>INDEX(W4:Y4,MATCH(D27,W3:Y3))</f>
        <v>390</v>
      </c>
      <c r="E28" s="57" t="s">
        <v>14</v>
      </c>
      <c r="F28" s="58"/>
      <c r="G28" s="123"/>
    </row>
    <row r="29" spans="2:23" ht="15.75" hidden="1" thickBot="1" x14ac:dyDescent="0.3">
      <c r="B29"/>
      <c r="C29"/>
      <c r="D29"/>
      <c r="E29"/>
      <c r="F29"/>
      <c r="G29" s="123"/>
    </row>
    <row r="30" spans="2:23" ht="21.75" hidden="1" thickBot="1" x14ac:dyDescent="0.3">
      <c r="B30" s="271" t="s">
        <v>217</v>
      </c>
      <c r="C30" s="276"/>
      <c r="D30" s="192"/>
      <c r="E30" s="193"/>
      <c r="F30" s="63"/>
      <c r="G30" s="123"/>
    </row>
    <row r="31" spans="2:23" ht="15.75" hidden="1" x14ac:dyDescent="0.25">
      <c r="B31" s="71" t="s">
        <v>122</v>
      </c>
      <c r="C31" s="167" t="s">
        <v>105</v>
      </c>
      <c r="D31" s="87">
        <f>D16</f>
        <v>2.7</v>
      </c>
      <c r="E31" s="194" t="s">
        <v>6</v>
      </c>
      <c r="F31" s="89">
        <v>0.03</v>
      </c>
      <c r="G31" s="123"/>
    </row>
    <row r="32" spans="2:23" ht="15" hidden="1" x14ac:dyDescent="0.25">
      <c r="B32" s="71" t="s">
        <v>219</v>
      </c>
      <c r="C32" s="73" t="s">
        <v>224</v>
      </c>
      <c r="D32" s="119">
        <v>470</v>
      </c>
      <c r="E32" s="21" t="s">
        <v>14</v>
      </c>
      <c r="F32" s="99">
        <v>0.01</v>
      </c>
      <c r="G32" s="123"/>
      <c r="K32" s="109">
        <f>D37</f>
        <v>2.4498694516971278</v>
      </c>
      <c r="L32" s="110" t="s">
        <v>236</v>
      </c>
    </row>
    <row r="33" spans="2:23" ht="15" hidden="1" x14ac:dyDescent="0.25">
      <c r="B33" s="71" t="s">
        <v>63</v>
      </c>
      <c r="C33" s="73" t="s">
        <v>220</v>
      </c>
      <c r="D33" s="81">
        <f>D32/(D31/OVref -1)</f>
        <v>375.99999999999989</v>
      </c>
      <c r="E33" s="22" t="s">
        <v>14</v>
      </c>
      <c r="F33" s="56"/>
      <c r="G33" s="123"/>
      <c r="K33" s="109">
        <f>D36</f>
        <v>2.6725848563968664</v>
      </c>
      <c r="L33" s="110" t="s">
        <v>79</v>
      </c>
    </row>
    <row r="34" spans="2:23" ht="15.75" hidden="1" x14ac:dyDescent="0.25">
      <c r="B34" s="259" t="s">
        <v>221</v>
      </c>
      <c r="C34" s="269"/>
      <c r="D34" s="260"/>
      <c r="E34" s="195"/>
      <c r="F34" s="196"/>
      <c r="G34" s="123"/>
      <c r="K34" s="203">
        <f>D27</f>
        <v>13.8</v>
      </c>
      <c r="L34" s="110" t="s">
        <v>237</v>
      </c>
    </row>
    <row r="35" spans="2:23" ht="15" hidden="1" x14ac:dyDescent="0.25">
      <c r="B35" s="71" t="s">
        <v>41</v>
      </c>
      <c r="C35" s="73" t="s">
        <v>42</v>
      </c>
      <c r="D35" s="121">
        <f>G35</f>
        <v>383.00000000000006</v>
      </c>
      <c r="E35" s="22" t="s">
        <v>14</v>
      </c>
      <c r="F35" s="197">
        <f>F32</f>
        <v>0.01</v>
      </c>
      <c r="G35" s="123">
        <f>L56/L55*D33</f>
        <v>383.00000000000006</v>
      </c>
    </row>
    <row r="36" spans="2:23" ht="15" hidden="1" x14ac:dyDescent="0.25">
      <c r="B36" s="71" t="s">
        <v>99</v>
      </c>
      <c r="C36" s="73" t="s">
        <v>110</v>
      </c>
      <c r="D36" s="82">
        <f>OVref*(1+D32/D35)</f>
        <v>2.6725848563968664</v>
      </c>
      <c r="E36" s="22" t="s">
        <v>6</v>
      </c>
      <c r="F36" s="90">
        <f>SQRT(F126^2+F32^2+F35^2)</f>
        <v>3.3166247903553998E-2</v>
      </c>
      <c r="G36" s="123"/>
      <c r="K36" s="25"/>
      <c r="L36" s="115"/>
    </row>
    <row r="37" spans="2:23" ht="15.75" hidden="1" x14ac:dyDescent="0.25">
      <c r="B37" s="171" t="s">
        <v>100</v>
      </c>
      <c r="C37" s="198" t="s">
        <v>101</v>
      </c>
      <c r="D37" s="199">
        <f>UVref*(1+D32/D35)</f>
        <v>2.4498694516971278</v>
      </c>
      <c r="E37" s="200" t="s">
        <v>6</v>
      </c>
      <c r="F37" s="201">
        <f>SQRT(F125^2+F32^2+F35^2)</f>
        <v>6.4567793829431716E-2</v>
      </c>
      <c r="G37" s="123"/>
      <c r="K37" s="25"/>
      <c r="L37" s="115"/>
    </row>
    <row r="38" spans="2:23" ht="15.75" hidden="1" thickBot="1" x14ac:dyDescent="0.3">
      <c r="B38" s="72" t="s">
        <v>218</v>
      </c>
      <c r="C38" s="74" t="s">
        <v>222</v>
      </c>
      <c r="D38" s="83">
        <f>D11*1000/(D32+D35)</f>
        <v>14.067995310668231</v>
      </c>
      <c r="E38" s="57" t="s">
        <v>7</v>
      </c>
      <c r="F38" s="58"/>
      <c r="G38" s="123"/>
    </row>
    <row r="39" spans="2:23" ht="15" x14ac:dyDescent="0.25">
      <c r="B39"/>
      <c r="C39"/>
      <c r="D39"/>
      <c r="E39"/>
      <c r="F39"/>
      <c r="G39" s="123"/>
    </row>
    <row r="40" spans="2:23" ht="15.75" thickBot="1" x14ac:dyDescent="0.3">
      <c r="B40"/>
      <c r="C40"/>
      <c r="D40"/>
      <c r="E40"/>
      <c r="F40"/>
      <c r="G40" s="123"/>
    </row>
    <row r="41" spans="2:23" ht="32.450000000000003" customHeight="1" thickBot="1" x14ac:dyDescent="0.3">
      <c r="B41" s="271" t="s">
        <v>223</v>
      </c>
      <c r="C41" s="272"/>
      <c r="D41" s="272"/>
      <c r="E41" s="272"/>
      <c r="F41" s="273"/>
      <c r="G41" s="125"/>
      <c r="L41" s="204" t="s">
        <v>106</v>
      </c>
      <c r="M41" s="112"/>
      <c r="N41" s="112"/>
      <c r="O41" s="112"/>
      <c r="P41" s="112"/>
      <c r="Q41" s="112"/>
      <c r="R41" s="112"/>
      <c r="S41" s="112"/>
      <c r="T41" s="112"/>
      <c r="U41" s="113"/>
      <c r="V41" s="113"/>
    </row>
    <row r="42" spans="2:23" ht="32.450000000000003" customHeight="1" x14ac:dyDescent="0.25">
      <c r="B42" s="71" t="s">
        <v>122</v>
      </c>
      <c r="C42" s="55" t="s">
        <v>105</v>
      </c>
      <c r="D42" s="87">
        <f>D16</f>
        <v>2.7</v>
      </c>
      <c r="E42" s="75"/>
      <c r="F42" s="77"/>
      <c r="G42" s="125"/>
      <c r="L42" s="205">
        <f>(OVref*D44)/(D42-OVref)</f>
        <v>375.99999999999994</v>
      </c>
      <c r="M42" s="112"/>
      <c r="N42" s="112"/>
      <c r="O42" s="112"/>
      <c r="P42" s="112"/>
      <c r="Q42" s="112"/>
      <c r="R42" s="112"/>
      <c r="S42" s="112"/>
      <c r="T42" s="112"/>
      <c r="U42" s="113"/>
      <c r="V42" s="113"/>
    </row>
    <row r="43" spans="2:23" ht="32.450000000000003" customHeight="1" x14ac:dyDescent="0.25">
      <c r="B43" s="46" t="s">
        <v>103</v>
      </c>
      <c r="C43" s="47" t="s">
        <v>104</v>
      </c>
      <c r="D43" s="88">
        <f>D15</f>
        <v>3.8</v>
      </c>
      <c r="E43" s="76"/>
      <c r="F43" s="78"/>
      <c r="G43" s="125"/>
      <c r="J43" s="109">
        <f>D51</f>
        <v>2.4713527851458887</v>
      </c>
      <c r="K43" s="114" t="s">
        <v>120</v>
      </c>
      <c r="L43" s="159" t="s">
        <v>41</v>
      </c>
      <c r="N43" s="112"/>
      <c r="O43" s="112"/>
      <c r="P43" s="112"/>
      <c r="Q43" s="112"/>
      <c r="R43" s="112"/>
      <c r="S43" s="112"/>
      <c r="T43" s="112"/>
      <c r="U43" s="113"/>
      <c r="V43" s="113"/>
    </row>
    <row r="44" spans="2:23" ht="22.35" customHeight="1" x14ac:dyDescent="0.25">
      <c r="B44" s="46" t="s">
        <v>95</v>
      </c>
      <c r="C44" s="47" t="s">
        <v>162</v>
      </c>
      <c r="D44" s="119">
        <v>470</v>
      </c>
      <c r="E44" s="21" t="s">
        <v>14</v>
      </c>
      <c r="F44" s="120">
        <v>0.01</v>
      </c>
      <c r="G44" s="125"/>
      <c r="H44" s="155"/>
      <c r="J44" s="109">
        <f>D50</f>
        <v>2.6960212201591514</v>
      </c>
      <c r="K44" s="114" t="s">
        <v>79</v>
      </c>
      <c r="L44" s="159">
        <f>IF(D45&gt;=10000,D45/100,IF(D45&gt;=1000,D45/10,IF(D45&gt;=100,D45,IF(D45&gt;=10,D45*10,D45*100))))</f>
        <v>108.84210526315786</v>
      </c>
    </row>
    <row r="45" spans="2:23" ht="22.35" customHeight="1" x14ac:dyDescent="0.25">
      <c r="B45" s="46" t="s">
        <v>63</v>
      </c>
      <c r="C45" s="47" t="s">
        <v>96</v>
      </c>
      <c r="D45" s="81">
        <f>L42-D46</f>
        <v>108.84210526315786</v>
      </c>
      <c r="E45" s="22" t="s">
        <v>14</v>
      </c>
      <c r="F45" s="79"/>
      <c r="G45" s="125"/>
      <c r="J45" s="109">
        <f>D53</f>
        <v>3.4895131086142324</v>
      </c>
      <c r="K45" s="110" t="s">
        <v>82</v>
      </c>
      <c r="L45" s="159">
        <f>INDEX('Res EIA Tables'!E$5:E$197,2+MATCH(L44,'Res EIA Tables'!E$5:E$197))</f>
        <v>110</v>
      </c>
    </row>
    <row r="46" spans="2:23" ht="18" customHeight="1" x14ac:dyDescent="0.25">
      <c r="B46" s="46" t="s">
        <v>107</v>
      </c>
      <c r="C46" s="47" t="s">
        <v>96</v>
      </c>
      <c r="D46" s="81">
        <f>(D44+L42)*OVref/D43</f>
        <v>267.15789473684208</v>
      </c>
      <c r="E46" s="22" t="s">
        <v>14</v>
      </c>
      <c r="F46" s="56"/>
      <c r="G46" s="125"/>
      <c r="J46" s="109">
        <f>D52</f>
        <v>3.8067415730337077</v>
      </c>
      <c r="K46" s="114" t="s">
        <v>84</v>
      </c>
      <c r="L46" s="159" t="s">
        <v>108</v>
      </c>
      <c r="W46" s="111"/>
    </row>
    <row r="47" spans="2:23" ht="18" customHeight="1" x14ac:dyDescent="0.25">
      <c r="B47" s="259" t="s">
        <v>166</v>
      </c>
      <c r="C47" s="260"/>
      <c r="D47" s="80"/>
      <c r="E47" s="80"/>
      <c r="F47" s="56"/>
      <c r="G47" s="125"/>
      <c r="L47" s="159">
        <f>IF(D46&gt;=10000,D46/100,IF(D46&gt;=1000,D46/10,IF(D46&gt;=100,D46,IF(D46&gt;=10,D46*10,D46*100))))</f>
        <v>267.15789473684208</v>
      </c>
    </row>
    <row r="48" spans="2:23" ht="18" customHeight="1" x14ac:dyDescent="0.25">
      <c r="B48" s="46" t="s">
        <v>41</v>
      </c>
      <c r="C48" s="47" t="s">
        <v>42</v>
      </c>
      <c r="D48" s="121">
        <f>G48</f>
        <v>110</v>
      </c>
      <c r="E48" s="22" t="s">
        <v>14</v>
      </c>
      <c r="F48" s="153">
        <v>0.01</v>
      </c>
      <c r="G48" s="125">
        <f>L45*D45/L44</f>
        <v>110</v>
      </c>
      <c r="J48" s="25"/>
      <c r="K48" s="115"/>
      <c r="L48" s="206">
        <f>INDEX('Res EIA Tables'!E$5:E$197,2+MATCH(L47,'Res EIA Tables'!E$5:E$197))</f>
        <v>274</v>
      </c>
    </row>
    <row r="49" spans="2:23" ht="18" customHeight="1" x14ac:dyDescent="0.25">
      <c r="B49" s="46" t="s">
        <v>108</v>
      </c>
      <c r="C49" s="47" t="s">
        <v>109</v>
      </c>
      <c r="D49" s="121">
        <f>267</f>
        <v>267</v>
      </c>
      <c r="E49" s="22" t="s">
        <v>14</v>
      </c>
      <c r="F49" s="153">
        <v>0.01</v>
      </c>
      <c r="G49" s="125">
        <f>L48*D46/L47</f>
        <v>274</v>
      </c>
      <c r="J49" s="25"/>
      <c r="K49" s="115"/>
      <c r="L49" s="206"/>
    </row>
    <row r="50" spans="2:23" ht="18" customHeight="1" x14ac:dyDescent="0.25">
      <c r="B50" s="46" t="s">
        <v>99</v>
      </c>
      <c r="C50" s="47" t="s">
        <v>110</v>
      </c>
      <c r="D50" s="82">
        <f>OVref*(D44+D48+D49)/(D48+D49)</f>
        <v>2.6960212201591514</v>
      </c>
      <c r="E50" s="22" t="s">
        <v>6</v>
      </c>
      <c r="F50" s="90">
        <f>SQRT(F126^2+F44^2+F48^2+F49^2)</f>
        <v>3.4641016151377546E-2</v>
      </c>
      <c r="G50" s="125"/>
      <c r="J50" s="25"/>
      <c r="K50" s="115"/>
      <c r="L50" s="206">
        <f>IF(D58&gt;=100,D58,IF(D58&gt;=10,D58*10,D58*100))</f>
        <v>0</v>
      </c>
    </row>
    <row r="51" spans="2:23" s="111" customFormat="1" ht="18.600000000000001" customHeight="1" x14ac:dyDescent="0.25">
      <c r="B51" s="46" t="s">
        <v>100</v>
      </c>
      <c r="C51" s="47" t="s">
        <v>101</v>
      </c>
      <c r="D51" s="82">
        <f>UVref*(D44+D48+D49)/(D48+D49)</f>
        <v>2.4713527851458887</v>
      </c>
      <c r="E51" s="22" t="s">
        <v>6</v>
      </c>
      <c r="F51" s="90">
        <f>SQRT(F125^2+F44^2+F48^2+F49^2)</f>
        <v>6.5337584895678549E-2</v>
      </c>
      <c r="G51" s="126"/>
      <c r="J51" s="25"/>
      <c r="K51" s="115"/>
      <c r="L51" s="207" t="e">
        <f>IF(L50&gt;1000,INDEX('Res EIA Tables'!E$5:E$197,MATCH(L50/10,'Res EIA Tables'!E$5:E$197))*10,INDEX('Res EIA Tables'!E$5:E$197,MATCH(L50,'Res EIA Tables'!E$5:E$197)))</f>
        <v>#N/A</v>
      </c>
      <c r="M51" s="17"/>
      <c r="N51" s="17"/>
      <c r="O51" s="17"/>
      <c r="P51" s="17"/>
      <c r="Q51" s="17"/>
      <c r="R51" s="17"/>
      <c r="S51" s="17"/>
      <c r="T51" s="17"/>
      <c r="U51" s="19"/>
      <c r="V51" s="19"/>
      <c r="W51" s="17"/>
    </row>
    <row r="52" spans="2:23" ht="18" customHeight="1" x14ac:dyDescent="0.25">
      <c r="B52" s="46" t="s">
        <v>111</v>
      </c>
      <c r="C52" s="47" t="s">
        <v>113</v>
      </c>
      <c r="D52" s="82">
        <f>OVref*(D44+D48+D49)/(D49)</f>
        <v>3.8067415730337077</v>
      </c>
      <c r="E52" s="22" t="s">
        <v>6</v>
      </c>
      <c r="F52" s="90">
        <f>SQRT(F126^2+F44^2+F48^2+F49^2)</f>
        <v>3.4641016151377546E-2</v>
      </c>
      <c r="G52" s="127"/>
      <c r="L52" s="159"/>
    </row>
    <row r="53" spans="2:23" ht="18" customHeight="1" x14ac:dyDescent="0.25">
      <c r="B53" s="46" t="s">
        <v>112</v>
      </c>
      <c r="C53" s="47" t="s">
        <v>114</v>
      </c>
      <c r="D53" s="82">
        <f>UVref*(D44+D48+D49)/(D49)</f>
        <v>3.4895131086142324</v>
      </c>
      <c r="E53" s="22" t="s">
        <v>6</v>
      </c>
      <c r="F53" s="90">
        <f>SQRT(F125^2+F44^2+F48^2+F49^2)</f>
        <v>6.5337584895678549E-2</v>
      </c>
      <c r="G53" s="127"/>
      <c r="L53" s="208">
        <f>IF(D62&gt;=10000,D62/100,IF(D62&gt;=1000,D62/10,IF(D62&gt;=100,D62,IF(D62&gt;=10,D62*10,D62*100))))</f>
        <v>705.88235294117658</v>
      </c>
    </row>
    <row r="54" spans="2:23" ht="21" customHeight="1" thickBot="1" x14ac:dyDescent="0.3">
      <c r="B54" s="53" t="s">
        <v>115</v>
      </c>
      <c r="C54" s="54" t="s">
        <v>116</v>
      </c>
      <c r="D54" s="83">
        <f>D12*1000/(D44+D48+D49)</f>
        <v>3.8961038961038961</v>
      </c>
      <c r="E54" s="57" t="s">
        <v>7</v>
      </c>
      <c r="F54" s="58"/>
      <c r="G54" s="125"/>
      <c r="L54" s="159">
        <f>INDEX('Res EIA Tables'!E$5:E$197,2+MATCH(L53,'Res EIA Tables'!E$5:E$197))</f>
        <v>715</v>
      </c>
      <c r="M54" s="111"/>
      <c r="N54" s="111"/>
      <c r="O54" s="111"/>
      <c r="P54" s="111"/>
      <c r="Q54" s="111"/>
      <c r="R54" s="111"/>
      <c r="S54" s="111"/>
      <c r="T54" s="111"/>
      <c r="U54" s="116"/>
      <c r="V54" s="116"/>
    </row>
    <row r="55" spans="2:23" ht="25.35" customHeight="1" x14ac:dyDescent="0.25">
      <c r="G55" s="125"/>
      <c r="L55" s="159">
        <f>IF(D33&gt;=10000,D33/100,IF(D33&gt;=1000,D33/10,IF(D33&gt;=100,D33,IF(D33&gt;=10,D33*10,D33*100))))</f>
        <v>375.99999999999989</v>
      </c>
    </row>
    <row r="56" spans="2:23" ht="18" customHeight="1" x14ac:dyDescent="0.25">
      <c r="B56"/>
      <c r="C56"/>
      <c r="D56"/>
      <c r="E56"/>
      <c r="F56"/>
      <c r="G56"/>
      <c r="L56" s="159">
        <f>INDEX('Res EIA Tables'!E$5:E$197,2+MATCH(L55,'Res EIA Tables'!E$5:E$197))</f>
        <v>383</v>
      </c>
    </row>
    <row r="57" spans="2:23" ht="18" customHeight="1" x14ac:dyDescent="0.25">
      <c r="B57"/>
      <c r="C57"/>
      <c r="D57"/>
      <c r="E57"/>
      <c r="F57"/>
      <c r="G57"/>
      <c r="L57" s="159">
        <f>IF(D70&gt;=10000,D70/100,IF(D70&gt;=1000,D70/10,IF(D70&gt;=100,D70,IF(D70&gt;=10,D70*10,D70*100))))</f>
        <v>603.43891402714939</v>
      </c>
    </row>
    <row r="58" spans="2:23" ht="18" customHeight="1" thickBot="1" x14ac:dyDescent="0.3">
      <c r="B58"/>
      <c r="C58"/>
      <c r="D58"/>
      <c r="E58"/>
      <c r="F58"/>
      <c r="G58"/>
      <c r="L58" s="159">
        <f>INDEX('Res EIA Tables'!E$5:E$197,2+MATCH(L57,'Res EIA Tables'!E$5:E$197))</f>
        <v>604</v>
      </c>
    </row>
    <row r="59" spans="2:23" customFormat="1" ht="18" customHeight="1" thickBot="1" x14ac:dyDescent="0.3">
      <c r="B59" s="211" t="s">
        <v>225</v>
      </c>
      <c r="C59" s="212"/>
      <c r="D59" s="213"/>
      <c r="E59" s="212"/>
      <c r="F59" s="214"/>
    </row>
    <row r="60" spans="2:23" customFormat="1" ht="18" customHeight="1" thickBot="1" x14ac:dyDescent="0.3">
      <c r="B60" s="144" t="s">
        <v>125</v>
      </c>
      <c r="C60" s="145" t="s">
        <v>126</v>
      </c>
      <c r="D60" s="215">
        <v>2.9</v>
      </c>
      <c r="E60" s="146" t="s">
        <v>6</v>
      </c>
      <c r="F60" s="216">
        <v>0.03</v>
      </c>
    </row>
    <row r="61" spans="2:23" customFormat="1" ht="18" customHeight="1" thickBot="1" x14ac:dyDescent="0.3">
      <c r="B61" s="217" t="s">
        <v>127</v>
      </c>
      <c r="C61" s="218" t="s">
        <v>140</v>
      </c>
      <c r="D61" s="219">
        <v>100</v>
      </c>
      <c r="E61" s="220" t="s">
        <v>14</v>
      </c>
      <c r="F61" s="221">
        <v>0.01</v>
      </c>
    </row>
    <row r="62" spans="2:23" customFormat="1" ht="18" customHeight="1" thickBot="1" x14ac:dyDescent="0.3">
      <c r="B62" s="217" t="s">
        <v>128</v>
      </c>
      <c r="C62" s="218" t="s">
        <v>129</v>
      </c>
      <c r="D62" s="222">
        <f>D61*PGTH/(D60-PGTH)</f>
        <v>70.588235294117652</v>
      </c>
      <c r="E62" s="223" t="s">
        <v>14</v>
      </c>
      <c r="F62" s="224"/>
    </row>
    <row r="63" spans="2:23" customFormat="1" ht="18" customHeight="1" thickBot="1" x14ac:dyDescent="0.3">
      <c r="B63" s="225" t="s">
        <v>165</v>
      </c>
      <c r="C63" s="226"/>
      <c r="D63" s="224"/>
      <c r="E63" s="227"/>
      <c r="F63" s="228"/>
    </row>
    <row r="64" spans="2:23" customFormat="1" ht="18" customHeight="1" thickBot="1" x14ac:dyDescent="0.3">
      <c r="B64" s="229" t="s">
        <v>133</v>
      </c>
      <c r="C64" s="230" t="s">
        <v>153</v>
      </c>
      <c r="D64" s="231">
        <f>D62*L54/L53</f>
        <v>71.499999999999986</v>
      </c>
      <c r="E64" s="223" t="s">
        <v>14</v>
      </c>
      <c r="F64" s="232">
        <v>0.01</v>
      </c>
    </row>
    <row r="65" spans="2:23" customFormat="1" ht="18" customHeight="1" thickBot="1" x14ac:dyDescent="0.3">
      <c r="B65" s="233" t="s">
        <v>134</v>
      </c>
      <c r="C65" s="234" t="s">
        <v>139</v>
      </c>
      <c r="D65" s="235">
        <f>1.2*(D61+D64)/D64</f>
        <v>2.8783216783216785</v>
      </c>
      <c r="E65" s="236" t="s">
        <v>6</v>
      </c>
      <c r="F65" s="216">
        <f>SQRT(F126^2+F61^2+F64^2)</f>
        <v>3.3166247903553998E-2</v>
      </c>
    </row>
    <row r="66" spans="2:23" customFormat="1" ht="18" customHeight="1" thickBot="1" x14ac:dyDescent="0.3">
      <c r="B66" s="237" t="s">
        <v>135</v>
      </c>
      <c r="C66" s="238" t="s">
        <v>138</v>
      </c>
      <c r="D66" s="239">
        <f>1.1*(D61+D64)/D64</f>
        <v>2.6384615384615389</v>
      </c>
      <c r="E66" s="240" t="s">
        <v>6</v>
      </c>
      <c r="F66" s="216">
        <f>SQRT(F125^2+F61^2+F64^2)</f>
        <v>6.4567793829431716E-2</v>
      </c>
    </row>
    <row r="67" spans="2:23" customFormat="1" ht="18" customHeight="1" thickBot="1" x14ac:dyDescent="0.3">
      <c r="B67" s="217" t="s">
        <v>136</v>
      </c>
      <c r="C67" s="218" t="s">
        <v>137</v>
      </c>
      <c r="D67" s="241">
        <f>D12*1000/(D61+D64)</f>
        <v>19.241982507288629</v>
      </c>
      <c r="E67" s="242" t="s">
        <v>7</v>
      </c>
      <c r="F67" s="224"/>
    </row>
    <row r="68" spans="2:23" customFormat="1" ht="18" customHeight="1" thickBot="1" x14ac:dyDescent="0.3"/>
    <row r="69" spans="2:23" customFormat="1" ht="18" customHeight="1" thickBot="1" x14ac:dyDescent="0.3">
      <c r="B69" s="277" t="s">
        <v>226</v>
      </c>
      <c r="C69" s="277"/>
      <c r="D69" s="277"/>
      <c r="E69" s="277"/>
      <c r="F69" s="277"/>
      <c r="K69" s="25">
        <f>Icharge*(10^-3)</f>
        <v>2.9411764705882353E-2</v>
      </c>
      <c r="L69" s="115" t="s">
        <v>238</v>
      </c>
    </row>
    <row r="70" spans="2:23" customFormat="1" ht="18" customHeight="1" thickBot="1" x14ac:dyDescent="0.3">
      <c r="B70" s="243" t="s">
        <v>227</v>
      </c>
      <c r="C70" s="244" t="s">
        <v>228</v>
      </c>
      <c r="D70" s="241">
        <f>3334/(Ilimit)</f>
        <v>6034.3891402714935</v>
      </c>
      <c r="E70" s="146" t="s">
        <v>36</v>
      </c>
      <c r="F70" s="245"/>
      <c r="K70" s="25">
        <f>Ilimit_final</f>
        <v>0.55198675496688743</v>
      </c>
      <c r="L70" s="115" t="s">
        <v>239</v>
      </c>
    </row>
    <row r="71" spans="2:23" customFormat="1" ht="18" customHeight="1" thickBot="1" x14ac:dyDescent="0.3">
      <c r="B71" s="278" t="s">
        <v>229</v>
      </c>
      <c r="C71" s="278"/>
      <c r="D71" s="278"/>
      <c r="E71" s="146"/>
      <c r="F71" s="245"/>
    </row>
    <row r="72" spans="2:23" customFormat="1" ht="18" customHeight="1" thickBot="1" x14ac:dyDescent="0.3">
      <c r="B72" s="243" t="s">
        <v>230</v>
      </c>
      <c r="C72" s="244" t="s">
        <v>231</v>
      </c>
      <c r="D72" s="246">
        <f>G72</f>
        <v>6040</v>
      </c>
      <c r="E72" s="146" t="s">
        <v>36</v>
      </c>
      <c r="F72" s="247">
        <v>0.01</v>
      </c>
      <c r="G72" s="209">
        <f>L58/L57*D70</f>
        <v>6040</v>
      </c>
    </row>
    <row r="73" spans="2:23" customFormat="1" ht="18" customHeight="1" thickBot="1" x14ac:dyDescent="0.3">
      <c r="B73" s="243" t="s">
        <v>232</v>
      </c>
      <c r="C73" s="244" t="s">
        <v>233</v>
      </c>
      <c r="D73" s="241">
        <f>3334/D72</f>
        <v>0.55198675496688743</v>
      </c>
      <c r="E73" s="146" t="s">
        <v>4</v>
      </c>
      <c r="F73" s="248">
        <f>SQRT(0.105^2+F72^2)</f>
        <v>0.10547511554864492</v>
      </c>
    </row>
    <row r="74" spans="2:23" customFormat="1" ht="18" customHeight="1" thickBot="1" x14ac:dyDescent="0.3">
      <c r="B74" s="243" t="s">
        <v>241</v>
      </c>
      <c r="C74" s="244" t="s">
        <v>242</v>
      </c>
      <c r="D74" s="241">
        <f>2*Ilimit_final</f>
        <v>1.1039735099337749</v>
      </c>
      <c r="E74" s="146" t="s">
        <v>4</v>
      </c>
      <c r="F74" s="249">
        <f>F73</f>
        <v>0.10547511554864492</v>
      </c>
    </row>
    <row r="75" spans="2:23" ht="15.75" thickBot="1" x14ac:dyDescent="0.3">
      <c r="B75"/>
      <c r="C75"/>
      <c r="D75"/>
      <c r="E75"/>
      <c r="F75"/>
      <c r="G75" s="125"/>
    </row>
    <row r="76" spans="2:23" ht="21.6" customHeight="1" thickBot="1" x14ac:dyDescent="0.3">
      <c r="B76" s="256" t="s">
        <v>88</v>
      </c>
      <c r="C76" s="257"/>
      <c r="D76" s="257"/>
      <c r="E76" s="257"/>
      <c r="F76" s="270"/>
      <c r="G76" s="125"/>
      <c r="I76" s="25"/>
      <c r="W76" s="111"/>
    </row>
    <row r="77" spans="2:23" ht="18" customHeight="1" x14ac:dyDescent="0.25">
      <c r="B77" s="65" t="s">
        <v>0</v>
      </c>
      <c r="C77" s="66" t="s">
        <v>1</v>
      </c>
      <c r="D77" s="67" t="s">
        <v>2</v>
      </c>
      <c r="E77" s="68" t="s">
        <v>3</v>
      </c>
      <c r="F77" s="69" t="s">
        <v>50</v>
      </c>
      <c r="G77" s="125"/>
      <c r="W77" s="111"/>
    </row>
    <row r="78" spans="2:23" ht="18" customHeight="1" x14ac:dyDescent="0.25">
      <c r="B78" s="46" t="s">
        <v>89</v>
      </c>
      <c r="C78" s="47" t="s">
        <v>141</v>
      </c>
      <c r="D78" s="86">
        <v>2.2000000000000002</v>
      </c>
      <c r="E78" s="22" t="s">
        <v>7</v>
      </c>
      <c r="F78" s="90">
        <v>0.104</v>
      </c>
      <c r="G78" s="125"/>
      <c r="W78" s="111"/>
    </row>
    <row r="79" spans="2:23" s="111" customFormat="1" ht="31.5" customHeight="1" x14ac:dyDescent="0.25">
      <c r="B79" s="46" t="s">
        <v>69</v>
      </c>
      <c r="C79" s="47" t="s">
        <v>234</v>
      </c>
      <c r="D79" s="86">
        <f>Cout*(Vcc_max/D80)/1000</f>
        <v>1.7760364248924956</v>
      </c>
      <c r="E79" s="22" t="s">
        <v>4</v>
      </c>
      <c r="F79" s="56"/>
      <c r="G79" s="125"/>
      <c r="M79" s="17"/>
      <c r="N79" s="17"/>
      <c r="O79" s="17"/>
      <c r="P79" s="17"/>
      <c r="Q79" s="17"/>
      <c r="R79" s="17"/>
      <c r="S79" s="17"/>
      <c r="T79" s="17"/>
      <c r="U79" s="19"/>
      <c r="V79" s="19"/>
      <c r="W79" s="17"/>
    </row>
    <row r="80" spans="2:23" s="111" customFormat="1" ht="32.450000000000003" customHeight="1" x14ac:dyDescent="0.25">
      <c r="B80" s="46" t="s">
        <v>91</v>
      </c>
      <c r="C80" s="47" t="s">
        <v>90</v>
      </c>
      <c r="D80" s="86">
        <f>-0.0007*(Vcc_max^2) + 0.0301*Vcc_max + 0.0941</f>
        <v>0.185807</v>
      </c>
      <c r="E80" s="22" t="s">
        <v>5</v>
      </c>
      <c r="F80" s="90">
        <v>0.15</v>
      </c>
      <c r="H80" s="125"/>
      <c r="M80" s="17"/>
      <c r="N80" s="17"/>
      <c r="O80" s="17"/>
      <c r="P80" s="17"/>
      <c r="Q80" s="17"/>
      <c r="R80" s="17"/>
      <c r="S80" s="17"/>
      <c r="T80" s="17"/>
      <c r="U80" s="19"/>
      <c r="V80" s="19"/>
      <c r="W80" s="17"/>
    </row>
    <row r="81" spans="2:45" s="111" customFormat="1" ht="18" customHeight="1" x14ac:dyDescent="0.25">
      <c r="B81" s="46" t="s">
        <v>44</v>
      </c>
      <c r="C81" s="47" t="s">
        <v>45</v>
      </c>
      <c r="D81" s="100">
        <v>5</v>
      </c>
      <c r="E81" s="22" t="s">
        <v>5</v>
      </c>
      <c r="F81" s="56"/>
      <c r="G81" s="129"/>
      <c r="L81" s="117"/>
      <c r="M81" s="17"/>
      <c r="N81" s="17"/>
      <c r="O81" s="17"/>
      <c r="P81" s="17"/>
      <c r="Q81" s="17"/>
      <c r="R81" s="17"/>
      <c r="S81" s="17"/>
      <c r="T81" s="17"/>
      <c r="U81" s="19"/>
      <c r="V81" s="19"/>
      <c r="W81" s="17"/>
    </row>
    <row r="82" spans="2:45" ht="18" customHeight="1" x14ac:dyDescent="0.25">
      <c r="B82" s="46" t="s">
        <v>46</v>
      </c>
      <c r="C82" s="47" t="s">
        <v>70</v>
      </c>
      <c r="D82" s="100">
        <v>0.03</v>
      </c>
      <c r="E82" s="22" t="s">
        <v>4</v>
      </c>
      <c r="F82" s="56"/>
      <c r="G82" s="125"/>
      <c r="M82" s="117"/>
      <c r="N82" s="111"/>
      <c r="O82" s="111"/>
      <c r="P82" s="111"/>
      <c r="Q82" s="111"/>
      <c r="R82" s="111"/>
      <c r="S82" s="111"/>
      <c r="T82" s="111"/>
      <c r="U82" s="116"/>
      <c r="V82" s="116"/>
    </row>
    <row r="83" spans="2:45" ht="18" customHeight="1" x14ac:dyDescent="0.25">
      <c r="B83" s="46" t="s">
        <v>75</v>
      </c>
      <c r="C83" s="47" t="s">
        <v>73</v>
      </c>
      <c r="D83" s="137">
        <f>IF(Tchg_req&lt;D80,    0,  (2000*Tchg_req/Vcc_max))</f>
        <v>3030.3030303030305</v>
      </c>
      <c r="E83" s="22" t="s">
        <v>43</v>
      </c>
      <c r="F83" s="56"/>
      <c r="G83" s="125"/>
      <c r="M83" s="117"/>
      <c r="N83" s="111"/>
      <c r="O83" s="111"/>
      <c r="P83" s="111"/>
      <c r="Q83" s="111"/>
      <c r="R83" s="111"/>
      <c r="S83" s="111"/>
      <c r="T83" s="111"/>
      <c r="U83" s="116"/>
      <c r="V83" s="116"/>
      <c r="Y83" s="159"/>
      <c r="Z83" s="159"/>
      <c r="AA83" s="159"/>
      <c r="AB83" s="159"/>
      <c r="AC83" s="159"/>
      <c r="AD83" s="159"/>
      <c r="AE83" s="159"/>
      <c r="AF83" s="159"/>
      <c r="AG83" s="159"/>
      <c r="AH83" s="159"/>
      <c r="AI83" s="159"/>
      <c r="AJ83" s="159"/>
      <c r="AK83" s="159"/>
      <c r="AL83" s="159"/>
      <c r="AM83" s="159"/>
      <c r="AN83" s="159"/>
      <c r="AO83" s="159"/>
      <c r="AP83" s="159"/>
      <c r="AQ83" s="159"/>
      <c r="AR83" s="159"/>
      <c r="AS83" s="159"/>
    </row>
    <row r="84" spans="2:45" ht="18" customHeight="1" x14ac:dyDescent="0.25">
      <c r="B84" s="46" t="s">
        <v>76</v>
      </c>
      <c r="C84" s="47" t="s">
        <v>74</v>
      </c>
      <c r="D84" s="137">
        <f>(2000*Cout/Icharge_req/1000)</f>
        <v>6666.666666666667</v>
      </c>
      <c r="E84" s="22" t="s">
        <v>43</v>
      </c>
      <c r="F84" s="56"/>
      <c r="G84" s="125"/>
      <c r="M84" s="117"/>
      <c r="N84" s="111"/>
      <c r="O84" s="111"/>
      <c r="P84" s="111"/>
      <c r="Q84" s="111"/>
      <c r="R84" s="111"/>
      <c r="S84" s="111"/>
      <c r="T84" s="111"/>
      <c r="U84" s="250"/>
      <c r="V84" s="250"/>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row>
    <row r="85" spans="2:45" ht="18" customHeight="1" x14ac:dyDescent="0.25">
      <c r="B85" s="259" t="s">
        <v>77</v>
      </c>
      <c r="C85" s="269"/>
      <c r="D85" s="260"/>
      <c r="E85" s="22"/>
      <c r="F85" s="56"/>
      <c r="G85" s="147">
        <f>(MAX(D83,D84))/1000</f>
        <v>6.666666666666667</v>
      </c>
      <c r="J85" s="32"/>
      <c r="U85" s="251"/>
      <c r="V85" s="251"/>
      <c r="W85" s="159"/>
      <c r="X85" s="159"/>
      <c r="Y85" s="159"/>
      <c r="Z85" s="159"/>
      <c r="AA85" s="159"/>
      <c r="AB85" s="159"/>
      <c r="AC85" s="159"/>
      <c r="AD85" s="159">
        <f>Y95-AB93</f>
        <v>3.6044299999999989</v>
      </c>
      <c r="AE85" s="159"/>
      <c r="AF85" s="159"/>
      <c r="AG85" s="159"/>
      <c r="AH85" s="159"/>
      <c r="AI85" s="159"/>
      <c r="AJ85" s="159"/>
      <c r="AK85" s="159"/>
      <c r="AL85" s="159"/>
      <c r="AM85" s="159"/>
      <c r="AN85" s="159"/>
      <c r="AO85" s="159"/>
      <c r="AP85" s="159"/>
      <c r="AQ85" s="159"/>
      <c r="AR85" s="159"/>
      <c r="AS85" s="159"/>
    </row>
    <row r="86" spans="2:45" ht="18" customHeight="1" x14ac:dyDescent="0.25">
      <c r="B86" s="46" t="s">
        <v>78</v>
      </c>
      <c r="C86" s="47" t="s">
        <v>123</v>
      </c>
      <c r="D86" s="138">
        <f>G87</f>
        <v>6.8</v>
      </c>
      <c r="E86" s="22" t="s">
        <v>152</v>
      </c>
      <c r="F86" s="122">
        <v>0.1</v>
      </c>
      <c r="G86" s="124"/>
      <c r="U86" s="251">
        <f>D90+D93</f>
        <v>0.23002941176470587</v>
      </c>
      <c r="V86" s="251">
        <f>AB93/I93</f>
        <v>0.13088235294117642</v>
      </c>
      <c r="W86" s="159"/>
      <c r="X86" s="159"/>
      <c r="Y86" s="159"/>
      <c r="Z86" s="159"/>
      <c r="AA86" s="159"/>
      <c r="AB86" s="159"/>
      <c r="AC86" s="159"/>
      <c r="AD86" s="159">
        <f>(23.97*Tchg_dvdt^(-0.33)*Tchg_dvdt)-AB93</f>
        <v>122.12882742129536</v>
      </c>
      <c r="AE86" s="159"/>
      <c r="AF86" s="159"/>
      <c r="AG86" s="159"/>
      <c r="AH86" s="159"/>
      <c r="AI86" s="159"/>
      <c r="AJ86" s="159"/>
      <c r="AK86" s="159"/>
      <c r="AL86" s="159"/>
      <c r="AM86" s="159"/>
      <c r="AN86" s="159"/>
      <c r="AO86" s="159"/>
      <c r="AP86" s="159"/>
      <c r="AQ86" s="159"/>
      <c r="AR86" s="159"/>
      <c r="AS86" s="159"/>
    </row>
    <row r="87" spans="2:45" ht="16.7" customHeight="1" x14ac:dyDescent="0.25">
      <c r="B87" s="46" t="s">
        <v>47</v>
      </c>
      <c r="C87" s="47" t="s">
        <v>80</v>
      </c>
      <c r="D87" s="139">
        <f>IF(Cdvdt_ext="OPEN",D79*1000,(Cout*2000/Cdvdt_ext/1000))</f>
        <v>29.411764705882351</v>
      </c>
      <c r="E87" s="21" t="s">
        <v>142</v>
      </c>
      <c r="F87" s="84">
        <f>SQRT(F89^2+F18^2)</f>
        <v>0.14142135623730953</v>
      </c>
      <c r="G87" s="124">
        <f>IF(G85&gt;1,INDEX('Cap Tables'!B4:B75,1+MATCH(G85,'Cap Tables'!B4:B75)),(INDEX('Cap Tables'!A4:A75,1+MATCH(G85*10,'Cap Tables'!A4:A75))/10))</f>
        <v>6.8</v>
      </c>
      <c r="U87" s="251"/>
      <c r="V87" s="251"/>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row>
    <row r="88" spans="2:45" ht="16.7" customHeight="1" x14ac:dyDescent="0.25">
      <c r="B88" s="46" t="s">
        <v>235</v>
      </c>
      <c r="C88" s="47"/>
      <c r="D88" s="202" t="b">
        <f>((Icharge*(10^-3)+Vcc_max/Rlstart) &gt;= Ilimit_final)</f>
        <v>0</v>
      </c>
      <c r="E88" s="21"/>
      <c r="F88" s="27"/>
      <c r="G88" s="128">
        <f>Cout*0.001*Rlstart*(Ilimit_final/Icharge -1+LN(Icharge/(Ilimit_final-Vcc_max/Rlstart)))</f>
        <v>3.9052998652358921</v>
      </c>
      <c r="U88" s="251"/>
      <c r="V88" s="251"/>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row>
    <row r="89" spans="2:45" ht="16.7" customHeight="1" x14ac:dyDescent="0.25">
      <c r="B89" s="46" t="s">
        <v>150</v>
      </c>
      <c r="C89" s="47" t="s">
        <v>151</v>
      </c>
      <c r="D89" s="139">
        <f>IF(D88, G88, IF(Cdvdt_ext="OPEN",D80,Vcc_max*Cdvdt_ext*1000/2000))</f>
        <v>11.219999999999999</v>
      </c>
      <c r="E89" s="21" t="s">
        <v>5</v>
      </c>
      <c r="F89" s="84">
        <f>F86</f>
        <v>0.1</v>
      </c>
      <c r="U89" s="251"/>
      <c r="V89" s="251"/>
      <c r="W89" s="159"/>
      <c r="X89" s="159"/>
      <c r="Y89" s="159"/>
      <c r="Z89" s="159"/>
      <c r="AA89" s="159"/>
      <c r="AB89" s="159"/>
      <c r="AC89" s="159"/>
      <c r="AD89" s="159"/>
      <c r="AE89" s="159"/>
      <c r="AF89" s="159"/>
      <c r="AG89" s="159"/>
      <c r="AH89" s="159"/>
      <c r="AI89" s="159"/>
      <c r="AJ89" s="159"/>
      <c r="AK89" s="159"/>
      <c r="AL89" s="159"/>
      <c r="AM89" s="159"/>
      <c r="AN89" s="159"/>
      <c r="AO89" s="159"/>
      <c r="AP89" s="159"/>
      <c r="AQ89" s="159"/>
      <c r="AR89" s="159"/>
      <c r="AS89" s="159"/>
    </row>
    <row r="90" spans="2:45" ht="19.5" thickBot="1" x14ac:dyDescent="0.3">
      <c r="B90" s="53" t="s">
        <v>81</v>
      </c>
      <c r="C90" s="54" t="s">
        <v>48</v>
      </c>
      <c r="D90" s="83">
        <f>0.5*Vcc_max*Icharge/10^3</f>
        <v>4.8529411764705876E-2</v>
      </c>
      <c r="E90" s="64" t="s">
        <v>20</v>
      </c>
      <c r="F90" s="44"/>
      <c r="G90" s="126"/>
      <c r="U90" s="251"/>
      <c r="V90" s="251"/>
      <c r="W90" s="159"/>
      <c r="X90" s="159"/>
      <c r="Y90" s="159"/>
      <c r="Z90" s="159">
        <f>23.97*Tchg_dvdt^(-0.33)*Tchg_dvdt*0.8</f>
        <v>96.884261937036285</v>
      </c>
      <c r="AA90" s="159"/>
      <c r="AB90" s="159"/>
      <c r="AC90" s="159"/>
      <c r="AD90" s="159"/>
      <c r="AE90" s="159"/>
      <c r="AF90" s="159"/>
      <c r="AG90" s="159"/>
      <c r="AH90" s="159"/>
      <c r="AI90" s="159"/>
      <c r="AJ90" s="159"/>
      <c r="AK90" s="159"/>
      <c r="AL90" s="159"/>
      <c r="AM90" s="159"/>
      <c r="AN90" s="159"/>
      <c r="AO90" s="159"/>
      <c r="AP90" s="159"/>
      <c r="AQ90" s="159"/>
      <c r="AR90" s="159"/>
      <c r="AS90" s="159"/>
    </row>
    <row r="91" spans="2:45" ht="18" customHeight="1" thickBot="1" x14ac:dyDescent="0.3">
      <c r="G91" s="128"/>
      <c r="U91" s="251"/>
      <c r="V91" s="251"/>
      <c r="W91" s="159"/>
      <c r="X91" s="159"/>
      <c r="Y91" s="159"/>
      <c r="Z91" s="159">
        <f>37.14*Tchg_dvdt^(-0.31)*Tchg_dvdt*0.51</f>
        <v>100.44010239226928</v>
      </c>
      <c r="AA91" s="159"/>
      <c r="AB91" s="159"/>
      <c r="AC91" s="159"/>
      <c r="AD91" s="159"/>
      <c r="AE91" s="159"/>
      <c r="AF91" s="159"/>
      <c r="AG91" s="159"/>
      <c r="AH91" s="159"/>
      <c r="AI91" s="159"/>
      <c r="AJ91" s="159"/>
      <c r="AK91" s="159"/>
      <c r="AL91" s="159"/>
      <c r="AM91" s="159"/>
      <c r="AN91" s="159"/>
      <c r="AO91" s="159"/>
      <c r="AP91" s="159"/>
      <c r="AQ91" s="159"/>
      <c r="AR91" s="159"/>
      <c r="AS91" s="159"/>
    </row>
    <row r="92" spans="2:45" ht="20.25" customHeight="1" thickBot="1" x14ac:dyDescent="0.3">
      <c r="B92" s="256" t="s">
        <v>34</v>
      </c>
      <c r="C92" s="257"/>
      <c r="D92" s="257"/>
      <c r="E92" s="257"/>
      <c r="F92" s="270"/>
      <c r="G92" s="126"/>
      <c r="K92"/>
      <c r="U92" s="251"/>
      <c r="V92" s="251"/>
      <c r="W92" s="159"/>
      <c r="X92" s="159"/>
      <c r="Y92" s="159" t="s">
        <v>163</v>
      </c>
      <c r="Z92" s="159" t="s">
        <v>164</v>
      </c>
      <c r="AA92" s="159" t="s">
        <v>167</v>
      </c>
      <c r="AB92" s="159"/>
      <c r="AC92" s="159"/>
      <c r="AD92" s="159"/>
      <c r="AE92" s="159"/>
      <c r="AF92" s="159"/>
      <c r="AG92" s="159"/>
      <c r="AH92" s="159"/>
      <c r="AI92" s="159"/>
      <c r="AJ92" s="159"/>
      <c r="AK92" s="159"/>
      <c r="AL92" s="159"/>
      <c r="AM92" s="159"/>
      <c r="AN92" s="159"/>
      <c r="AO92" s="159"/>
      <c r="AP92" s="159"/>
      <c r="AQ92" s="159"/>
      <c r="AR92" s="159"/>
      <c r="AS92" s="159"/>
    </row>
    <row r="93" spans="2:45" ht="18" customHeight="1" x14ac:dyDescent="0.25">
      <c r="B93" s="132" t="s">
        <v>37</v>
      </c>
      <c r="C93" s="55" t="s">
        <v>49</v>
      </c>
      <c r="D93" s="140">
        <f>(Vcc_max^2/Rlstart)*(1/6-(D20^2/2/Vcc_max^2)+(D20^3/3/Vcc_max^3))</f>
        <v>0.18149999999999999</v>
      </c>
      <c r="E93" s="62" t="s">
        <v>20</v>
      </c>
      <c r="F93" s="133"/>
      <c r="G93" s="124"/>
      <c r="H93"/>
      <c r="I93" s="208">
        <f>(Vcc_max-5.6)*Tchg_dvdt/Vcc_max</f>
        <v>-7.8199999999999985</v>
      </c>
      <c r="J93"/>
      <c r="K93"/>
      <c r="L93"/>
      <c r="M93" s="41"/>
      <c r="N93"/>
      <c r="O93"/>
      <c r="P93"/>
      <c r="Q93" s="41"/>
      <c r="R93" s="41"/>
      <c r="S93" s="41"/>
      <c r="T93" s="41"/>
      <c r="U93" s="209"/>
      <c r="V93" s="252"/>
      <c r="W93" s="159"/>
      <c r="X93" s="159"/>
      <c r="Y93" s="159">
        <f>0.5*Vcc_max*Icharge/10^3*Tchg_dvdt</f>
        <v>0.54449999999999987</v>
      </c>
      <c r="Z93" s="159">
        <f>13.312*Tchg_dvdt^(-0.4)*Tchg_dvdt*0.8</f>
        <v>45.428564118956302</v>
      </c>
      <c r="AA93" s="159">
        <f>0.5*(Vcc_max+5.6)*Icharge/10^3*I93</f>
        <v>-1.0234999999999994</v>
      </c>
      <c r="AB93" s="159">
        <f>IF(D20&lt;Vcc_max-5.6,AA95,AA93)</f>
        <v>-1.0234999999999994</v>
      </c>
      <c r="AC93" s="159"/>
      <c r="AD93" s="159"/>
      <c r="AE93" s="159"/>
      <c r="AF93" s="159"/>
      <c r="AG93" s="159"/>
      <c r="AH93" s="159"/>
      <c r="AI93" s="159"/>
      <c r="AJ93" s="159"/>
      <c r="AK93" s="159"/>
      <c r="AL93" s="159"/>
      <c r="AM93" s="159"/>
      <c r="AN93" s="159"/>
      <c r="AO93" s="159"/>
      <c r="AP93" s="159"/>
      <c r="AQ93" s="159"/>
      <c r="AR93" s="159"/>
      <c r="AS93" s="159"/>
    </row>
    <row r="94" spans="2:45" ht="21.6" customHeight="1" x14ac:dyDescent="0.25">
      <c r="B94" s="46" t="s">
        <v>39</v>
      </c>
      <c r="C94" s="47" t="s">
        <v>38</v>
      </c>
      <c r="D94" s="141">
        <f>D90+D93</f>
        <v>0.23002941176470587</v>
      </c>
      <c r="E94" s="22" t="s">
        <v>20</v>
      </c>
      <c r="F94" s="56"/>
      <c r="G94" s="124"/>
      <c r="I94"/>
      <c r="J94"/>
      <c r="K94"/>
      <c r="L94"/>
      <c r="M94" s="41"/>
      <c r="N94"/>
      <c r="O94"/>
      <c r="P94"/>
      <c r="Q94" s="41"/>
      <c r="R94" s="41"/>
      <c r="S94" s="41"/>
      <c r="T94" s="41"/>
      <c r="U94" s="252"/>
      <c r="V94" s="252"/>
      <c r="W94" s="159"/>
      <c r="X94" s="159"/>
      <c r="Y94" s="159">
        <f>(Vcc_max^2/Rlstart)*(1/6-(D20^2/2/Vcc_max^2)+(D20^3/3/Vcc_max^3))*Tchg_dvdt</f>
        <v>2.0364299999999997</v>
      </c>
      <c r="Z94" s="159" t="e">
        <f>30.81*I93^(-0.31)*I93*0.8</f>
        <v>#NUM!</v>
      </c>
      <c r="AA94" s="159">
        <f>(Tchg_dvdt/Rlstart)*(((Vcc_max-5.6)^2/2)-((Vcc_max-5.6)^3/3/Vcc_max)-(D20^2/2)+(D20^3/3/Vcc_max))</f>
        <v>4.3466166666666659</v>
      </c>
      <c r="AB94" s="159"/>
      <c r="AC94" s="159"/>
      <c r="AD94" s="159"/>
      <c r="AE94" s="159"/>
      <c r="AF94" s="159"/>
      <c r="AG94" s="159"/>
      <c r="AH94" s="159"/>
      <c r="AI94" s="159"/>
      <c r="AJ94" s="159"/>
      <c r="AK94" s="159"/>
      <c r="AL94" s="159"/>
      <c r="AM94" s="159"/>
      <c r="AN94" s="159"/>
      <c r="AO94" s="159"/>
      <c r="AP94" s="159"/>
      <c r="AQ94" s="159"/>
      <c r="AR94" s="159"/>
      <c r="AS94" s="159"/>
    </row>
    <row r="95" spans="2:45" ht="26.1" customHeight="1" x14ac:dyDescent="0.25">
      <c r="B95" s="149"/>
      <c r="C95" s="150" t="s">
        <v>169</v>
      </c>
      <c r="D95" s="262" t="str">
        <f>IF(Vcc_max&lt;=5.6,IF(D24&lt;=25,AA98,IF(D24&lt;=85,AA97,IF(D24&lt;=125,AA99))),IF(D24&lt;=25,AF96,IF(D24&lt;=85,AA96,IF(D24&lt;=125,AL96))))</f>
        <v>YES</v>
      </c>
      <c r="E95" s="263"/>
      <c r="F95" s="263"/>
      <c r="G95" s="263"/>
      <c r="H95" s="263"/>
      <c r="I95" s="263"/>
      <c r="J95" s="263"/>
      <c r="L95"/>
      <c r="M95" s="41"/>
      <c r="N95" s="41"/>
      <c r="O95" s="41"/>
      <c r="P95" s="41"/>
      <c r="Q95" s="41"/>
      <c r="R95" s="41"/>
      <c r="S95" s="41"/>
      <c r="T95" s="41"/>
      <c r="U95" s="252"/>
      <c r="V95" s="252"/>
      <c r="W95" s="159"/>
      <c r="X95" s="159"/>
      <c r="Y95" s="159">
        <f>Y93+Y94</f>
        <v>2.5809299999999995</v>
      </c>
      <c r="Z95" s="159"/>
      <c r="AA95" s="159">
        <f>AA93+AA94</f>
        <v>3.3231166666666665</v>
      </c>
      <c r="AB95" s="159"/>
      <c r="AC95" s="159"/>
      <c r="AD95" s="159"/>
      <c r="AE95" s="159"/>
      <c r="AF95" s="159"/>
      <c r="AG95" s="159"/>
      <c r="AH95" s="159"/>
      <c r="AI95" s="159"/>
      <c r="AJ95" s="159"/>
      <c r="AK95" s="159"/>
      <c r="AL95" s="159"/>
      <c r="AM95" s="159"/>
      <c r="AN95" s="159"/>
      <c r="AO95" s="159"/>
      <c r="AP95" s="159"/>
      <c r="AQ95" s="159"/>
      <c r="AR95" s="159"/>
      <c r="AS95" s="159"/>
    </row>
    <row r="96" spans="2:45" ht="16.350000000000001" customHeight="1" x14ac:dyDescent="0.25">
      <c r="B96" s="157" t="s">
        <v>168</v>
      </c>
      <c r="C96" s="157"/>
      <c r="D96" s="158" t="str">
        <f>IF(Vcc_max&gt;=5.6,IF(D95="YES","    We recommend verify startup on EVM for particular system test case"," ")," ")</f>
        <v xml:space="preserve"> </v>
      </c>
      <c r="E96" s="158"/>
      <c r="F96" s="158"/>
      <c r="G96" s="158"/>
      <c r="H96" s="158"/>
      <c r="I96" s="158"/>
      <c r="J96"/>
      <c r="L96"/>
      <c r="M96"/>
      <c r="N96"/>
      <c r="U96" s="251"/>
      <c r="V96" s="251"/>
      <c r="W96" s="159"/>
      <c r="X96" s="159"/>
      <c r="Y96" s="159"/>
      <c r="Z96" s="159"/>
      <c r="AA96" s="253" t="e">
        <f>IF(AB93&lt;Z94,IF(Y95&lt;Z90,"YES","NO, Increase Rlstart and/or Tchg_req; and/or Reduce Cout"),"NO, Increase Rlstart and/or Tchg_req; and/or Reduce Cout")</f>
        <v>#NUM!</v>
      </c>
      <c r="AB96" s="159"/>
      <c r="AC96" s="159"/>
      <c r="AD96" s="159"/>
      <c r="AE96" s="159"/>
      <c r="AF96" s="159" t="e">
        <f>IF(AB93&lt;Z94,IF(Y95&lt;Z91,"YES","NO, Increase Rlstart and/or Tchg_req; and/or Reduce Cout"),"NO, Increase Rlstart and/or Tchg_req; and/or Reduce Cout")</f>
        <v>#NUM!</v>
      </c>
      <c r="AG96" s="159"/>
      <c r="AH96" s="159"/>
      <c r="AI96" s="159"/>
      <c r="AJ96" s="159"/>
      <c r="AK96" s="159"/>
      <c r="AL96" s="159" t="e">
        <f>IF(AB93&lt;Z94,IF(Y95&lt;Z93,"YES","NO, Increase Rlstart and/or Tchg_req; and/or Reduce Cout"),"NO, Increase Rlstart and/or Tchg_req; and/or Reduce Cout")</f>
        <v>#NUM!</v>
      </c>
      <c r="AM96" s="159"/>
      <c r="AN96" s="159"/>
      <c r="AO96" s="159"/>
      <c r="AP96" s="159"/>
      <c r="AQ96" s="159"/>
      <c r="AR96" s="159"/>
      <c r="AS96" s="159"/>
    </row>
    <row r="97" spans="2:45" ht="16.350000000000001" customHeight="1" x14ac:dyDescent="0.25">
      <c r="B97"/>
      <c r="C97"/>
      <c r="D97"/>
      <c r="E97" s="154"/>
      <c r="F97" s="154"/>
      <c r="G97" s="154"/>
      <c r="H97" s="154"/>
      <c r="I97" s="154"/>
      <c r="J97" s="154"/>
      <c r="L97" s="19"/>
      <c r="M97" s="19"/>
      <c r="U97" s="251"/>
      <c r="V97" s="251"/>
      <c r="W97" s="159"/>
      <c r="X97" s="159"/>
      <c r="Y97" s="159"/>
      <c r="Z97" s="159"/>
      <c r="AA97" s="253" t="str">
        <f>IF(Y95&lt;Z90,"YES","NO, Increase Rlstart and/or Tchg_req; and/or Reduce Cout")</f>
        <v>YES</v>
      </c>
      <c r="AB97" s="159"/>
      <c r="AC97" s="159"/>
      <c r="AD97" s="159"/>
      <c r="AE97" s="159"/>
      <c r="AF97" s="159"/>
      <c r="AG97" s="159"/>
      <c r="AH97" s="159"/>
      <c r="AI97" s="159"/>
      <c r="AJ97" s="159"/>
      <c r="AK97" s="159"/>
      <c r="AL97" s="159"/>
      <c r="AM97" s="159"/>
      <c r="AN97" s="159"/>
      <c r="AO97" s="159"/>
      <c r="AP97" s="159"/>
      <c r="AQ97" s="159"/>
      <c r="AR97" s="159"/>
      <c r="AS97" s="159"/>
    </row>
    <row r="98" spans="2:45" ht="16.350000000000001" customHeight="1" x14ac:dyDescent="0.25">
      <c r="B98"/>
      <c r="C98"/>
      <c r="D98"/>
      <c r="E98" s="154"/>
      <c r="F98" s="154"/>
      <c r="G98" s="154"/>
      <c r="H98" s="154"/>
      <c r="I98" s="154"/>
      <c r="J98" s="154"/>
      <c r="L98" s="19"/>
      <c r="M98" s="19"/>
      <c r="U98" s="251"/>
      <c r="V98" s="251"/>
      <c r="W98" s="159"/>
      <c r="X98" s="159"/>
      <c r="Y98" s="159">
        <f>0.5*Vcc_max*Icharge/10^3</f>
        <v>4.8529411764705876E-2</v>
      </c>
      <c r="Z98" s="159">
        <f>23.97*Tchg_dvdt^(-0.33)*0.8</f>
        <v>8.6349609569551067</v>
      </c>
      <c r="AA98" s="209" t="str">
        <f>IF(Y95&lt;Z91,"YES","NO, Increase Rlstart and/or Tchg_req; and/or Reduce Cout")</f>
        <v>YES</v>
      </c>
      <c r="AB98" s="159"/>
      <c r="AC98" s="159"/>
      <c r="AD98" s="159"/>
      <c r="AE98" s="159"/>
      <c r="AF98" s="159"/>
      <c r="AG98" s="159"/>
      <c r="AH98" s="159"/>
      <c r="AI98" s="159"/>
      <c r="AJ98" s="159"/>
      <c r="AK98" s="159"/>
      <c r="AL98" s="159"/>
      <c r="AM98" s="159"/>
      <c r="AN98" s="159"/>
      <c r="AO98" s="159"/>
      <c r="AP98" s="159"/>
      <c r="AQ98" s="159"/>
      <c r="AR98" s="159"/>
      <c r="AS98" s="159"/>
    </row>
    <row r="99" spans="2:45" ht="16.350000000000001" customHeight="1" x14ac:dyDescent="0.25">
      <c r="B99"/>
      <c r="C99"/>
      <c r="D99"/>
      <c r="E99" s="154"/>
      <c r="F99" s="154"/>
      <c r="G99" s="154"/>
      <c r="H99" s="154"/>
      <c r="I99" s="154"/>
      <c r="J99" s="154"/>
      <c r="L99" s="19"/>
      <c r="M99" s="19"/>
      <c r="U99" s="251"/>
      <c r="V99" s="251"/>
      <c r="W99" s="159"/>
      <c r="X99" s="159"/>
      <c r="Y99" s="159">
        <f>(Vcc_max^2/Rlstart)*(1/6-(D20^2/2/Vcc_max^2)+(D20^3/3/Vcc_max^3))</f>
        <v>0.18149999999999999</v>
      </c>
      <c r="Z99" s="159">
        <f>37.14*Tchg_dvdt^(-0.31)*0.51</f>
        <v>8.9518807836247127</v>
      </c>
      <c r="AA99" s="209" t="str">
        <f>IF(Y95&lt;Z93,"YES","NO, Increase Rlstart and/or Tchg_req; and/or Reduce Cout")</f>
        <v>YES</v>
      </c>
      <c r="AB99" s="159"/>
      <c r="AC99" s="159"/>
      <c r="AD99" s="159"/>
      <c r="AE99" s="159"/>
      <c r="AF99" s="159"/>
      <c r="AG99" s="159"/>
      <c r="AH99" s="159"/>
      <c r="AI99" s="159"/>
      <c r="AJ99" s="159"/>
      <c r="AK99" s="159"/>
      <c r="AL99" s="159"/>
      <c r="AM99" s="159"/>
      <c r="AN99" s="159"/>
      <c r="AO99" s="159"/>
      <c r="AP99" s="159"/>
      <c r="AQ99" s="159"/>
      <c r="AR99" s="159"/>
      <c r="AS99" s="159"/>
    </row>
    <row r="100" spans="2:45" ht="16.350000000000001" customHeight="1" x14ac:dyDescent="0.25">
      <c r="B100"/>
      <c r="C100"/>
      <c r="D100"/>
      <c r="E100" s="154"/>
      <c r="F100" s="154"/>
      <c r="G100" s="154"/>
      <c r="H100" s="154"/>
      <c r="I100" s="154"/>
      <c r="J100" s="154"/>
      <c r="L100" s="19"/>
      <c r="M100" s="19"/>
      <c r="U100" s="251"/>
      <c r="V100" s="251"/>
      <c r="W100" s="159"/>
      <c r="X100" s="159"/>
      <c r="Y100" s="159">
        <f>Y98+Y99</f>
        <v>0.23002941176470587</v>
      </c>
      <c r="Z100" s="159" t="e">
        <f>30.81*I93^(-0.31)*0.8</f>
        <v>#NUM!</v>
      </c>
      <c r="AA100" s="209"/>
      <c r="AB100" s="159"/>
      <c r="AC100" s="159"/>
      <c r="AD100" s="159"/>
      <c r="AE100" s="159"/>
      <c r="AF100" s="159"/>
      <c r="AG100" s="159"/>
      <c r="AH100" s="159"/>
      <c r="AI100" s="159"/>
      <c r="AJ100" s="159"/>
      <c r="AK100" s="159"/>
      <c r="AL100" s="159"/>
      <c r="AM100" s="159"/>
      <c r="AN100" s="159"/>
      <c r="AO100" s="159"/>
      <c r="AP100" s="159"/>
      <c r="AQ100" s="159"/>
      <c r="AR100" s="159"/>
      <c r="AS100" s="159"/>
    </row>
    <row r="101" spans="2:45" ht="18" customHeight="1" thickBot="1" x14ac:dyDescent="0.3">
      <c r="U101" s="251"/>
      <c r="V101" s="251"/>
      <c r="W101" s="159"/>
      <c r="X101" s="159"/>
      <c r="Y101" s="159"/>
      <c r="Z101" s="159"/>
      <c r="AA101" s="159"/>
      <c r="AB101" s="159"/>
      <c r="AC101" s="159"/>
      <c r="AD101" s="159"/>
      <c r="AE101" s="159"/>
      <c r="AF101" s="159"/>
      <c r="AG101" s="159"/>
      <c r="AH101" s="159"/>
      <c r="AI101" s="159"/>
      <c r="AJ101" s="159"/>
      <c r="AK101" s="159"/>
      <c r="AL101" s="159"/>
      <c r="AM101" s="159"/>
      <c r="AN101" s="159"/>
      <c r="AO101" s="159"/>
      <c r="AP101" s="159"/>
      <c r="AQ101" s="159"/>
      <c r="AR101" s="159"/>
      <c r="AS101" s="159"/>
    </row>
    <row r="102" spans="2:45" ht="27" customHeight="1" thickBot="1" x14ac:dyDescent="0.3">
      <c r="B102" s="256" t="s">
        <v>33</v>
      </c>
      <c r="C102" s="257"/>
      <c r="D102" s="257"/>
      <c r="E102" s="258"/>
      <c r="F102" s="63"/>
      <c r="L102"/>
      <c r="M102"/>
    </row>
    <row r="103" spans="2:45" ht="33.6" customHeight="1" x14ac:dyDescent="0.25">
      <c r="B103" s="65" t="s">
        <v>0</v>
      </c>
      <c r="C103" s="66" t="s">
        <v>1</v>
      </c>
      <c r="D103" s="67" t="s">
        <v>2</v>
      </c>
      <c r="E103" s="68" t="s">
        <v>3</v>
      </c>
      <c r="F103" s="69" t="s">
        <v>50</v>
      </c>
      <c r="G103"/>
      <c r="H103"/>
      <c r="I103"/>
      <c r="J103" s="96"/>
      <c r="K103" s="70"/>
      <c r="L103"/>
      <c r="M103"/>
    </row>
    <row r="104" spans="2:45" ht="18" customHeight="1" x14ac:dyDescent="0.25">
      <c r="B104" s="46" t="s">
        <v>25</v>
      </c>
      <c r="C104" s="47" t="s">
        <v>27</v>
      </c>
      <c r="D104" s="141">
        <f>Imax*Rdson_25deg</f>
        <v>14</v>
      </c>
      <c r="E104" s="21" t="s">
        <v>26</v>
      </c>
      <c r="F104" s="27"/>
      <c r="L104"/>
      <c r="M104"/>
    </row>
    <row r="105" spans="2:45" ht="18" customHeight="1" thickBot="1" x14ac:dyDescent="0.3">
      <c r="B105" s="53" t="s">
        <v>71</v>
      </c>
      <c r="C105" s="54" t="s">
        <v>28</v>
      </c>
      <c r="D105" s="142">
        <f>Imax^2*Rdson_25deg</f>
        <v>7</v>
      </c>
      <c r="E105" s="64" t="s">
        <v>29</v>
      </c>
      <c r="F105" s="44"/>
      <c r="L105"/>
      <c r="M105"/>
    </row>
    <row r="106" spans="2:45" ht="18" customHeight="1" thickBot="1" x14ac:dyDescent="0.3">
      <c r="B106" s="23"/>
      <c r="C106" s="34"/>
      <c r="E106" s="24"/>
      <c r="L106"/>
      <c r="M106"/>
    </row>
    <row r="107" spans="2:45" ht="18" customHeight="1" thickBot="1" x14ac:dyDescent="0.3">
      <c r="B107" s="264" t="s">
        <v>204</v>
      </c>
      <c r="C107" s="265"/>
      <c r="D107" s="265"/>
      <c r="E107" s="266"/>
      <c r="F107" s="177"/>
      <c r="L107"/>
      <c r="M107"/>
    </row>
    <row r="108" spans="2:45" ht="18" customHeight="1" thickBot="1" x14ac:dyDescent="0.3">
      <c r="B108" s="179" t="s">
        <v>0</v>
      </c>
      <c r="C108" s="180" t="s">
        <v>1</v>
      </c>
      <c r="D108" s="181" t="s">
        <v>2</v>
      </c>
      <c r="E108" s="182" t="s">
        <v>3</v>
      </c>
      <c r="F108" s="179" t="s">
        <v>50</v>
      </c>
      <c r="L108"/>
      <c r="M108"/>
    </row>
    <row r="109" spans="2:45" ht="18" customHeight="1" thickBot="1" x14ac:dyDescent="0.3">
      <c r="B109" s="144" t="s">
        <v>206</v>
      </c>
      <c r="C109" s="145" t="s">
        <v>205</v>
      </c>
      <c r="D109" s="178">
        <f>D23*1.8/1.5</f>
        <v>0</v>
      </c>
      <c r="E109" s="146" t="s">
        <v>8</v>
      </c>
      <c r="F109" s="183"/>
      <c r="L109"/>
      <c r="M109"/>
    </row>
    <row r="110" spans="2:45" ht="18" customHeight="1" thickBot="1" x14ac:dyDescent="0.3">
      <c r="B110" s="144" t="s">
        <v>207</v>
      </c>
      <c r="C110" s="145" t="s">
        <v>243</v>
      </c>
      <c r="D110" s="254" t="e">
        <f>G110</f>
        <v>#N/A</v>
      </c>
      <c r="E110" s="146" t="s">
        <v>8</v>
      </c>
      <c r="F110" s="184">
        <v>0.1</v>
      </c>
      <c r="G110" s="24" t="e">
        <f>INDEX('Cap Tables'!B4:B75,1+MATCH(D109,'Cap Tables'!B4:B75))</f>
        <v>#N/A</v>
      </c>
      <c r="L110"/>
      <c r="M110"/>
    </row>
    <row r="111" spans="2:45" ht="18" customHeight="1" thickBot="1" x14ac:dyDescent="0.3">
      <c r="B111" s="144" t="s">
        <v>208</v>
      </c>
      <c r="C111" s="145" t="s">
        <v>209</v>
      </c>
      <c r="D111" s="178" t="e">
        <f>D110*1.5/1.8</f>
        <v>#N/A</v>
      </c>
      <c r="E111" s="146" t="s">
        <v>5</v>
      </c>
      <c r="F111" s="183"/>
      <c r="L111"/>
      <c r="M111"/>
    </row>
    <row r="112" spans="2:45" ht="18" customHeight="1" x14ac:dyDescent="0.25">
      <c r="E112" s="24"/>
      <c r="L112"/>
      <c r="M112"/>
    </row>
    <row r="113" spans="2:7" ht="18" customHeight="1" x14ac:dyDescent="0.25">
      <c r="B113" s="261" t="s">
        <v>15</v>
      </c>
      <c r="C113" s="261"/>
      <c r="D113" s="25"/>
      <c r="G113" s="118"/>
    </row>
    <row r="114" spans="2:7" ht="18" customHeight="1" x14ac:dyDescent="0.25">
      <c r="B114" s="30" t="s">
        <v>24</v>
      </c>
      <c r="D114" s="25"/>
    </row>
    <row r="115" spans="2:7" ht="18" customHeight="1" x14ac:dyDescent="0.25">
      <c r="B115" s="28" t="s">
        <v>0</v>
      </c>
      <c r="C115" s="35" t="s">
        <v>1</v>
      </c>
      <c r="D115" s="29" t="s">
        <v>2</v>
      </c>
      <c r="E115" s="28" t="s">
        <v>3</v>
      </c>
      <c r="F115" s="28" t="s">
        <v>50</v>
      </c>
    </row>
    <row r="116" spans="2:7" ht="18" customHeight="1" x14ac:dyDescent="0.25">
      <c r="B116" s="93" t="s">
        <v>158</v>
      </c>
      <c r="C116" s="73" t="s">
        <v>159</v>
      </c>
      <c r="D116" s="94">
        <v>23</v>
      </c>
      <c r="E116" s="21" t="s">
        <v>6</v>
      </c>
      <c r="F116" s="91"/>
    </row>
    <row r="117" spans="2:7" ht="18" customHeight="1" x14ac:dyDescent="0.25">
      <c r="B117" s="93" t="s">
        <v>16</v>
      </c>
      <c r="C117" s="73" t="s">
        <v>17</v>
      </c>
      <c r="D117" s="94">
        <v>5.5</v>
      </c>
      <c r="E117" s="21" t="s">
        <v>4</v>
      </c>
      <c r="F117" s="91"/>
    </row>
    <row r="118" spans="2:7" ht="18" customHeight="1" x14ac:dyDescent="0.25">
      <c r="B118" s="93" t="s">
        <v>156</v>
      </c>
      <c r="C118" s="73" t="s">
        <v>157</v>
      </c>
      <c r="D118" s="94">
        <v>28</v>
      </c>
      <c r="E118" s="21" t="s">
        <v>18</v>
      </c>
      <c r="F118" s="91"/>
    </row>
    <row r="119" spans="2:7" ht="18" customHeight="1" x14ac:dyDescent="0.25">
      <c r="B119"/>
      <c r="C119"/>
      <c r="D119"/>
      <c r="E119"/>
      <c r="F119"/>
    </row>
    <row r="120" spans="2:7" ht="18" customHeight="1" x14ac:dyDescent="0.25">
      <c r="B120" s="30" t="s">
        <v>23</v>
      </c>
      <c r="D120" s="25"/>
    </row>
    <row r="121" spans="2:7" ht="18" customHeight="1" x14ac:dyDescent="0.25">
      <c r="B121" s="93" t="s">
        <v>19</v>
      </c>
      <c r="C121" s="73" t="s">
        <v>21</v>
      </c>
      <c r="D121" s="94">
        <v>150</v>
      </c>
      <c r="E121" s="26" t="s">
        <v>64</v>
      </c>
      <c r="F121" s="92"/>
    </row>
    <row r="122" spans="2:7" ht="18" customHeight="1" x14ac:dyDescent="0.25">
      <c r="B122" s="93" t="s">
        <v>66</v>
      </c>
      <c r="C122" s="73" t="s">
        <v>22</v>
      </c>
      <c r="D122" s="94">
        <v>41.7</v>
      </c>
      <c r="E122" s="26" t="s">
        <v>65</v>
      </c>
      <c r="F122" s="92"/>
    </row>
    <row r="123" spans="2:7" customFormat="1" ht="18" customHeight="1" x14ac:dyDescent="0.25"/>
    <row r="124" spans="2:7" ht="18" customHeight="1" x14ac:dyDescent="0.25">
      <c r="B124" s="30" t="s">
        <v>40</v>
      </c>
      <c r="D124" s="25"/>
    </row>
    <row r="125" spans="2:7" ht="18" customHeight="1" x14ac:dyDescent="0.25">
      <c r="B125" s="93" t="s">
        <v>67</v>
      </c>
      <c r="C125" s="73" t="s">
        <v>98</v>
      </c>
      <c r="D125" s="95">
        <v>1.1000000000000001</v>
      </c>
      <c r="E125" s="21" t="s">
        <v>6</v>
      </c>
      <c r="F125" s="91">
        <v>6.3E-2</v>
      </c>
    </row>
    <row r="126" spans="2:7" ht="18" customHeight="1" x14ac:dyDescent="0.25">
      <c r="B126" s="93" t="s">
        <v>83</v>
      </c>
      <c r="C126" s="73" t="s">
        <v>97</v>
      </c>
      <c r="D126" s="95">
        <v>1.2</v>
      </c>
      <c r="E126" s="21" t="s">
        <v>6</v>
      </c>
      <c r="F126" s="91">
        <v>0.03</v>
      </c>
    </row>
    <row r="127" spans="2:7" ht="18" customHeight="1" x14ac:dyDescent="0.25">
      <c r="B127" s="93" t="s">
        <v>87</v>
      </c>
      <c r="C127" s="73" t="s">
        <v>85</v>
      </c>
      <c r="D127" s="95">
        <v>182</v>
      </c>
      <c r="E127" s="21" t="s">
        <v>86</v>
      </c>
      <c r="F127" s="91">
        <v>3.6999999999999998E-2</v>
      </c>
    </row>
    <row r="128" spans="2:7" ht="18" customHeight="1" x14ac:dyDescent="0.25">
      <c r="B128" s="93" t="s">
        <v>130</v>
      </c>
      <c r="C128" s="73" t="s">
        <v>131</v>
      </c>
      <c r="D128" s="95">
        <v>1.2</v>
      </c>
      <c r="E128" s="21" t="s">
        <v>132</v>
      </c>
      <c r="F128" s="156"/>
    </row>
  </sheetData>
  <sheetProtection algorithmName="SHA-512" hashValue="E3SiHVsdXGgyH8gQiDU/PN5Du2KqIss/Brq855bWtp3oG6kXEIatyfJZvtbSNmBAzAj378bnzqxGgoPxpt1MZg==" saltValue="h4/RUpZY1BxQYnQzBndQxg==" spinCount="100000"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B1:G1"/>
    <mergeCell ref="B85:D85"/>
    <mergeCell ref="B76:F76"/>
    <mergeCell ref="B92:F92"/>
    <mergeCell ref="B41:F41"/>
    <mergeCell ref="B26:C26"/>
    <mergeCell ref="B30:C30"/>
    <mergeCell ref="B34:D34"/>
    <mergeCell ref="B69:F69"/>
    <mergeCell ref="B71:D71"/>
    <mergeCell ref="P2:U2"/>
    <mergeCell ref="B102:E102"/>
    <mergeCell ref="B47:C47"/>
    <mergeCell ref="B113:C113"/>
    <mergeCell ref="D95:J95"/>
    <mergeCell ref="B107:E107"/>
  </mergeCells>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$P$4:$P$9</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G7" sqref="G7"/>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82" t="s">
        <v>51</v>
      </c>
      <c r="B1" s="282"/>
      <c r="C1" s="282"/>
      <c r="D1" s="282"/>
      <c r="E1" s="282"/>
      <c r="F1" s="282"/>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83">
        <v>100</v>
      </c>
      <c r="B5" s="284">
        <v>100</v>
      </c>
      <c r="C5" s="279">
        <v>100</v>
      </c>
      <c r="D5" s="280">
        <v>100</v>
      </c>
      <c r="E5" s="281">
        <v>100</v>
      </c>
      <c r="F5" s="5">
        <v>100</v>
      </c>
    </row>
    <row r="6" spans="1:9" x14ac:dyDescent="0.25">
      <c r="A6" s="283"/>
      <c r="B6" s="284"/>
      <c r="C6" s="279"/>
      <c r="D6" s="280"/>
      <c r="E6" s="281"/>
      <c r="F6" s="5">
        <v>101</v>
      </c>
    </row>
    <row r="7" spans="1:9" x14ac:dyDescent="0.25">
      <c r="A7" s="283"/>
      <c r="B7" s="284"/>
      <c r="C7" s="279"/>
      <c r="D7" s="280"/>
      <c r="E7" s="281">
        <v>102</v>
      </c>
      <c r="F7" s="5">
        <v>102</v>
      </c>
    </row>
    <row r="8" spans="1:9" x14ac:dyDescent="0.25">
      <c r="A8" s="283"/>
      <c r="B8" s="284"/>
      <c r="C8" s="279"/>
      <c r="D8" s="280"/>
      <c r="E8" s="281"/>
      <c r="F8" s="5">
        <v>104</v>
      </c>
    </row>
    <row r="9" spans="1:9" x14ac:dyDescent="0.25">
      <c r="A9" s="283"/>
      <c r="B9" s="284"/>
      <c r="C9" s="279"/>
      <c r="D9" s="280">
        <v>105</v>
      </c>
      <c r="E9" s="281">
        <v>105</v>
      </c>
      <c r="F9" s="5">
        <v>105</v>
      </c>
    </row>
    <row r="10" spans="1:9" x14ac:dyDescent="0.25">
      <c r="A10" s="283"/>
      <c r="B10" s="284"/>
      <c r="C10" s="279"/>
      <c r="D10" s="280"/>
      <c r="E10" s="281"/>
      <c r="F10" s="5">
        <v>106</v>
      </c>
      <c r="I10" s="1"/>
    </row>
    <row r="11" spans="1:9" x14ac:dyDescent="0.25">
      <c r="A11" s="283"/>
      <c r="B11" s="284"/>
      <c r="C11" s="279"/>
      <c r="D11" s="280"/>
      <c r="E11" s="281">
        <v>107</v>
      </c>
      <c r="F11" s="5">
        <v>107</v>
      </c>
    </row>
    <row r="12" spans="1:9" x14ac:dyDescent="0.25">
      <c r="A12" s="283"/>
      <c r="B12" s="284"/>
      <c r="C12" s="279"/>
      <c r="D12" s="280"/>
      <c r="E12" s="281"/>
      <c r="F12" s="5">
        <v>109</v>
      </c>
    </row>
    <row r="13" spans="1:9" x14ac:dyDescent="0.25">
      <c r="A13" s="283"/>
      <c r="B13" s="284"/>
      <c r="C13" s="279">
        <v>110</v>
      </c>
      <c r="D13" s="280">
        <v>110</v>
      </c>
      <c r="E13" s="281">
        <v>110</v>
      </c>
      <c r="F13" s="5">
        <v>110</v>
      </c>
    </row>
    <row r="14" spans="1:9" x14ac:dyDescent="0.25">
      <c r="A14" s="283"/>
      <c r="B14" s="284"/>
      <c r="C14" s="279"/>
      <c r="D14" s="280"/>
      <c r="E14" s="281"/>
      <c r="F14" s="5">
        <v>111</v>
      </c>
    </row>
    <row r="15" spans="1:9" x14ac:dyDescent="0.25">
      <c r="A15" s="283"/>
      <c r="B15" s="284"/>
      <c r="C15" s="279"/>
      <c r="D15" s="280"/>
      <c r="E15" s="281">
        <v>113</v>
      </c>
      <c r="F15" s="5">
        <v>113</v>
      </c>
    </row>
    <row r="16" spans="1:9" x14ac:dyDescent="0.25">
      <c r="A16" s="283"/>
      <c r="B16" s="284"/>
      <c r="C16" s="279"/>
      <c r="D16" s="280"/>
      <c r="E16" s="281"/>
      <c r="F16" s="5">
        <v>114</v>
      </c>
    </row>
    <row r="17" spans="1:6" x14ac:dyDescent="0.25">
      <c r="A17" s="283"/>
      <c r="B17" s="284"/>
      <c r="C17" s="279"/>
      <c r="D17" s="280">
        <v>115</v>
      </c>
      <c r="E17" s="281">
        <v>115</v>
      </c>
      <c r="F17" s="5">
        <v>115</v>
      </c>
    </row>
    <row r="18" spans="1:6" x14ac:dyDescent="0.25">
      <c r="A18" s="283"/>
      <c r="B18" s="284"/>
      <c r="C18" s="279"/>
      <c r="D18" s="280"/>
      <c r="E18" s="281"/>
      <c r="F18" s="5">
        <v>117</v>
      </c>
    </row>
    <row r="19" spans="1:6" x14ac:dyDescent="0.25">
      <c r="A19" s="283"/>
      <c r="B19" s="284"/>
      <c r="C19" s="279"/>
      <c r="D19" s="280"/>
      <c r="E19" s="281">
        <v>118</v>
      </c>
      <c r="F19" s="5">
        <v>118</v>
      </c>
    </row>
    <row r="20" spans="1:6" x14ac:dyDescent="0.25">
      <c r="A20" s="283"/>
      <c r="B20" s="284"/>
      <c r="C20" s="279"/>
      <c r="D20" s="280"/>
      <c r="E20" s="281"/>
      <c r="F20" s="5">
        <v>120</v>
      </c>
    </row>
    <row r="21" spans="1:6" x14ac:dyDescent="0.25">
      <c r="A21" s="283"/>
      <c r="B21" s="284">
        <v>120</v>
      </c>
      <c r="C21" s="279">
        <v>120</v>
      </c>
      <c r="D21" s="280">
        <v>121</v>
      </c>
      <c r="E21" s="281">
        <v>121</v>
      </c>
      <c r="F21" s="5">
        <v>121</v>
      </c>
    </row>
    <row r="22" spans="1:6" x14ac:dyDescent="0.25">
      <c r="A22" s="283"/>
      <c r="B22" s="284"/>
      <c r="C22" s="279"/>
      <c r="D22" s="280"/>
      <c r="E22" s="281"/>
      <c r="F22" s="5">
        <v>123</v>
      </c>
    </row>
    <row r="23" spans="1:6" x14ac:dyDescent="0.25">
      <c r="A23" s="283"/>
      <c r="B23" s="284"/>
      <c r="C23" s="279"/>
      <c r="D23" s="280"/>
      <c r="E23" s="281">
        <v>124</v>
      </c>
      <c r="F23" s="5">
        <v>124</v>
      </c>
    </row>
    <row r="24" spans="1:6" x14ac:dyDescent="0.25">
      <c r="A24" s="283"/>
      <c r="B24" s="284"/>
      <c r="C24" s="279"/>
      <c r="D24" s="280"/>
      <c r="E24" s="281"/>
      <c r="F24" s="5">
        <v>126</v>
      </c>
    </row>
    <row r="25" spans="1:6" x14ac:dyDescent="0.25">
      <c r="A25" s="283"/>
      <c r="B25" s="284"/>
      <c r="C25" s="279"/>
      <c r="D25" s="280">
        <v>127</v>
      </c>
      <c r="E25" s="281">
        <v>127</v>
      </c>
      <c r="F25" s="5">
        <v>127</v>
      </c>
    </row>
    <row r="26" spans="1:6" x14ac:dyDescent="0.25">
      <c r="A26" s="283"/>
      <c r="B26" s="284"/>
      <c r="C26" s="279"/>
      <c r="D26" s="280"/>
      <c r="E26" s="281"/>
      <c r="F26" s="5">
        <v>129</v>
      </c>
    </row>
    <row r="27" spans="1:6" x14ac:dyDescent="0.25">
      <c r="A27" s="283"/>
      <c r="B27" s="284"/>
      <c r="C27" s="279"/>
      <c r="D27" s="280"/>
      <c r="E27" s="281">
        <v>130</v>
      </c>
      <c r="F27" s="5">
        <v>130</v>
      </c>
    </row>
    <row r="28" spans="1:6" x14ac:dyDescent="0.25">
      <c r="A28" s="283"/>
      <c r="B28" s="284"/>
      <c r="C28" s="279"/>
      <c r="D28" s="280"/>
      <c r="E28" s="281"/>
      <c r="F28" s="5">
        <v>132</v>
      </c>
    </row>
    <row r="29" spans="1:6" x14ac:dyDescent="0.25">
      <c r="A29" s="283"/>
      <c r="B29" s="284"/>
      <c r="C29" s="279">
        <v>130</v>
      </c>
      <c r="D29" s="280">
        <v>133</v>
      </c>
      <c r="E29" s="281">
        <v>133</v>
      </c>
      <c r="F29" s="5">
        <v>133</v>
      </c>
    </row>
    <row r="30" spans="1:6" x14ac:dyDescent="0.25">
      <c r="A30" s="283"/>
      <c r="B30" s="284"/>
      <c r="C30" s="279"/>
      <c r="D30" s="280"/>
      <c r="E30" s="281"/>
      <c r="F30" s="5">
        <v>135</v>
      </c>
    </row>
    <row r="31" spans="1:6" x14ac:dyDescent="0.25">
      <c r="A31" s="283"/>
      <c r="B31" s="284"/>
      <c r="C31" s="279"/>
      <c r="D31" s="280"/>
      <c r="E31" s="281">
        <v>137</v>
      </c>
      <c r="F31" s="5">
        <v>137</v>
      </c>
    </row>
    <row r="32" spans="1:6" x14ac:dyDescent="0.25">
      <c r="A32" s="283"/>
      <c r="B32" s="284"/>
      <c r="C32" s="279"/>
      <c r="D32" s="280"/>
      <c r="E32" s="281"/>
      <c r="F32" s="5">
        <v>138</v>
      </c>
    </row>
    <row r="33" spans="1:6" x14ac:dyDescent="0.25">
      <c r="A33" s="283"/>
      <c r="B33" s="284"/>
      <c r="C33" s="279"/>
      <c r="D33" s="280">
        <v>140</v>
      </c>
      <c r="E33" s="281">
        <v>140</v>
      </c>
      <c r="F33" s="5">
        <v>140</v>
      </c>
    </row>
    <row r="34" spans="1:6" x14ac:dyDescent="0.25">
      <c r="A34" s="283"/>
      <c r="B34" s="284"/>
      <c r="C34" s="279"/>
      <c r="D34" s="280"/>
      <c r="E34" s="281"/>
      <c r="F34" s="5">
        <v>142</v>
      </c>
    </row>
    <row r="35" spans="1:6" x14ac:dyDescent="0.25">
      <c r="A35" s="283"/>
      <c r="B35" s="284"/>
      <c r="C35" s="279"/>
      <c r="D35" s="280"/>
      <c r="E35" s="281">
        <v>143</v>
      </c>
      <c r="F35" s="5">
        <v>143</v>
      </c>
    </row>
    <row r="36" spans="1:6" x14ac:dyDescent="0.25">
      <c r="A36" s="283"/>
      <c r="B36" s="284"/>
      <c r="C36" s="279"/>
      <c r="D36" s="280"/>
      <c r="E36" s="281"/>
      <c r="F36" s="5">
        <v>145</v>
      </c>
    </row>
    <row r="37" spans="1:6" x14ac:dyDescent="0.25">
      <c r="A37" s="283">
        <v>150</v>
      </c>
      <c r="B37" s="284">
        <v>150</v>
      </c>
      <c r="C37" s="279">
        <v>150</v>
      </c>
      <c r="D37" s="280">
        <v>147</v>
      </c>
      <c r="E37" s="281">
        <v>147</v>
      </c>
      <c r="F37" s="5">
        <v>147</v>
      </c>
    </row>
    <row r="38" spans="1:6" x14ac:dyDescent="0.25">
      <c r="A38" s="283"/>
      <c r="B38" s="284"/>
      <c r="C38" s="279"/>
      <c r="D38" s="280"/>
      <c r="E38" s="281"/>
      <c r="F38" s="5">
        <v>149</v>
      </c>
    </row>
    <row r="39" spans="1:6" x14ac:dyDescent="0.25">
      <c r="A39" s="283"/>
      <c r="B39" s="284"/>
      <c r="C39" s="279"/>
      <c r="D39" s="280"/>
      <c r="E39" s="281">
        <v>150</v>
      </c>
      <c r="F39" s="5">
        <v>150</v>
      </c>
    </row>
    <row r="40" spans="1:6" x14ac:dyDescent="0.25">
      <c r="A40" s="283"/>
      <c r="B40" s="284"/>
      <c r="C40" s="279"/>
      <c r="D40" s="280"/>
      <c r="E40" s="281"/>
      <c r="F40" s="5">
        <v>152</v>
      </c>
    </row>
    <row r="41" spans="1:6" x14ac:dyDescent="0.25">
      <c r="A41" s="283"/>
      <c r="B41" s="284"/>
      <c r="C41" s="279"/>
      <c r="D41" s="280">
        <v>154</v>
      </c>
      <c r="E41" s="281">
        <v>154</v>
      </c>
      <c r="F41" s="5">
        <v>154</v>
      </c>
    </row>
    <row r="42" spans="1:6" x14ac:dyDescent="0.25">
      <c r="A42" s="283"/>
      <c r="B42" s="284"/>
      <c r="C42" s="279"/>
      <c r="D42" s="280"/>
      <c r="E42" s="281"/>
      <c r="F42" s="5">
        <v>156</v>
      </c>
    </row>
    <row r="43" spans="1:6" x14ac:dyDescent="0.25">
      <c r="A43" s="283"/>
      <c r="B43" s="284"/>
      <c r="C43" s="279"/>
      <c r="D43" s="280"/>
      <c r="E43" s="281">
        <v>158</v>
      </c>
      <c r="F43" s="5">
        <v>158</v>
      </c>
    </row>
    <row r="44" spans="1:6" x14ac:dyDescent="0.25">
      <c r="A44" s="283"/>
      <c r="B44" s="284"/>
      <c r="C44" s="279"/>
      <c r="D44" s="280"/>
      <c r="E44" s="281"/>
      <c r="F44" s="5">
        <v>160</v>
      </c>
    </row>
    <row r="45" spans="1:6" x14ac:dyDescent="0.25">
      <c r="A45" s="283"/>
      <c r="B45" s="284"/>
      <c r="C45" s="279">
        <v>160</v>
      </c>
      <c r="D45" s="280">
        <v>162</v>
      </c>
      <c r="E45" s="281">
        <v>162</v>
      </c>
      <c r="F45" s="5">
        <v>162</v>
      </c>
    </row>
    <row r="46" spans="1:6" x14ac:dyDescent="0.25">
      <c r="A46" s="283"/>
      <c r="B46" s="284"/>
      <c r="C46" s="279"/>
      <c r="D46" s="280"/>
      <c r="E46" s="281"/>
      <c r="F46" s="5">
        <v>164</v>
      </c>
    </row>
    <row r="47" spans="1:6" x14ac:dyDescent="0.25">
      <c r="A47" s="283"/>
      <c r="B47" s="284"/>
      <c r="C47" s="279"/>
      <c r="D47" s="280"/>
      <c r="E47" s="281">
        <v>165</v>
      </c>
      <c r="F47" s="5">
        <v>165</v>
      </c>
    </row>
    <row r="48" spans="1:6" x14ac:dyDescent="0.25">
      <c r="A48" s="283"/>
      <c r="B48" s="284"/>
      <c r="C48" s="279"/>
      <c r="D48" s="280"/>
      <c r="E48" s="281"/>
      <c r="F48" s="5">
        <v>167</v>
      </c>
    </row>
    <row r="49" spans="1:6" x14ac:dyDescent="0.25">
      <c r="A49" s="283"/>
      <c r="B49" s="284"/>
      <c r="C49" s="279"/>
      <c r="D49" s="280">
        <v>169</v>
      </c>
      <c r="E49" s="281">
        <v>169</v>
      </c>
      <c r="F49" s="5">
        <v>169</v>
      </c>
    </row>
    <row r="50" spans="1:6" x14ac:dyDescent="0.25">
      <c r="A50" s="283"/>
      <c r="B50" s="284"/>
      <c r="C50" s="279"/>
      <c r="D50" s="280"/>
      <c r="E50" s="281"/>
      <c r="F50" s="5">
        <v>172</v>
      </c>
    </row>
    <row r="51" spans="1:6" x14ac:dyDescent="0.25">
      <c r="A51" s="283"/>
      <c r="B51" s="284"/>
      <c r="C51" s="279"/>
      <c r="D51" s="280"/>
      <c r="E51" s="281">
        <v>174</v>
      </c>
      <c r="F51" s="5">
        <v>174</v>
      </c>
    </row>
    <row r="52" spans="1:6" x14ac:dyDescent="0.25">
      <c r="A52" s="283"/>
      <c r="B52" s="284"/>
      <c r="C52" s="279"/>
      <c r="D52" s="280"/>
      <c r="E52" s="281"/>
      <c r="F52" s="5">
        <v>176</v>
      </c>
    </row>
    <row r="53" spans="1:6" x14ac:dyDescent="0.25">
      <c r="A53" s="283"/>
      <c r="B53" s="284">
        <v>180</v>
      </c>
      <c r="C53" s="279">
        <v>180</v>
      </c>
      <c r="D53" s="280">
        <v>178</v>
      </c>
      <c r="E53" s="281">
        <v>178</v>
      </c>
      <c r="F53" s="5">
        <v>178</v>
      </c>
    </row>
    <row r="54" spans="1:6" x14ac:dyDescent="0.25">
      <c r="A54" s="283"/>
      <c r="B54" s="284"/>
      <c r="C54" s="279"/>
      <c r="D54" s="280"/>
      <c r="E54" s="281"/>
      <c r="F54" s="5">
        <v>180</v>
      </c>
    </row>
    <row r="55" spans="1:6" x14ac:dyDescent="0.25">
      <c r="A55" s="283"/>
      <c r="B55" s="284"/>
      <c r="C55" s="279"/>
      <c r="D55" s="280"/>
      <c r="E55" s="281">
        <v>182</v>
      </c>
      <c r="F55" s="5">
        <v>182</v>
      </c>
    </row>
    <row r="56" spans="1:6" x14ac:dyDescent="0.25">
      <c r="A56" s="283"/>
      <c r="B56" s="284"/>
      <c r="C56" s="279"/>
      <c r="D56" s="280"/>
      <c r="E56" s="281"/>
      <c r="F56" s="5">
        <v>184</v>
      </c>
    </row>
    <row r="57" spans="1:6" x14ac:dyDescent="0.25">
      <c r="A57" s="283"/>
      <c r="B57" s="284"/>
      <c r="C57" s="279"/>
      <c r="D57" s="280">
        <v>187</v>
      </c>
      <c r="E57" s="281">
        <v>187</v>
      </c>
      <c r="F57" s="5">
        <v>187</v>
      </c>
    </row>
    <row r="58" spans="1:6" x14ac:dyDescent="0.25">
      <c r="A58" s="283"/>
      <c r="B58" s="284"/>
      <c r="C58" s="279"/>
      <c r="D58" s="280"/>
      <c r="E58" s="281"/>
      <c r="F58" s="5">
        <v>189</v>
      </c>
    </row>
    <row r="59" spans="1:6" x14ac:dyDescent="0.25">
      <c r="A59" s="283"/>
      <c r="B59" s="284"/>
      <c r="C59" s="279"/>
      <c r="D59" s="280"/>
      <c r="E59" s="281">
        <v>191</v>
      </c>
      <c r="F59" s="5">
        <v>191</v>
      </c>
    </row>
    <row r="60" spans="1:6" x14ac:dyDescent="0.25">
      <c r="A60" s="283"/>
      <c r="B60" s="284"/>
      <c r="C60" s="279"/>
      <c r="D60" s="280"/>
      <c r="E60" s="281"/>
      <c r="F60" s="5">
        <v>193</v>
      </c>
    </row>
    <row r="61" spans="1:6" x14ac:dyDescent="0.25">
      <c r="A61" s="283"/>
      <c r="B61" s="284"/>
      <c r="C61" s="279">
        <v>200</v>
      </c>
      <c r="D61" s="280">
        <v>196</v>
      </c>
      <c r="E61" s="281">
        <v>196</v>
      </c>
      <c r="F61" s="5">
        <v>196</v>
      </c>
    </row>
    <row r="62" spans="1:6" x14ac:dyDescent="0.25">
      <c r="A62" s="283"/>
      <c r="B62" s="284"/>
      <c r="C62" s="279"/>
      <c r="D62" s="280"/>
      <c r="E62" s="281"/>
      <c r="F62" s="5">
        <v>198</v>
      </c>
    </row>
    <row r="63" spans="1:6" x14ac:dyDescent="0.25">
      <c r="A63" s="283"/>
      <c r="B63" s="284"/>
      <c r="C63" s="279"/>
      <c r="D63" s="280"/>
      <c r="E63" s="281">
        <v>200</v>
      </c>
      <c r="F63" s="5">
        <v>200</v>
      </c>
    </row>
    <row r="64" spans="1:6" x14ac:dyDescent="0.25">
      <c r="A64" s="283"/>
      <c r="B64" s="284"/>
      <c r="C64" s="279"/>
      <c r="D64" s="280"/>
      <c r="E64" s="281"/>
      <c r="F64" s="5">
        <v>203</v>
      </c>
    </row>
    <row r="65" spans="1:6" x14ac:dyDescent="0.25">
      <c r="A65" s="283"/>
      <c r="B65" s="284"/>
      <c r="C65" s="279"/>
      <c r="D65" s="280">
        <v>205</v>
      </c>
      <c r="E65" s="281">
        <v>205</v>
      </c>
      <c r="F65" s="5">
        <v>205</v>
      </c>
    </row>
    <row r="66" spans="1:6" x14ac:dyDescent="0.25">
      <c r="A66" s="283"/>
      <c r="B66" s="284"/>
      <c r="C66" s="279"/>
      <c r="D66" s="280"/>
      <c r="E66" s="281"/>
      <c r="F66" s="5">
        <v>208</v>
      </c>
    </row>
    <row r="67" spans="1:6" x14ac:dyDescent="0.25">
      <c r="A67" s="283"/>
      <c r="B67" s="284"/>
      <c r="C67" s="279"/>
      <c r="D67" s="280"/>
      <c r="E67" s="281">
        <v>210</v>
      </c>
      <c r="F67" s="5">
        <v>210</v>
      </c>
    </row>
    <row r="68" spans="1:6" x14ac:dyDescent="0.25">
      <c r="A68" s="283"/>
      <c r="B68" s="284"/>
      <c r="C68" s="279"/>
      <c r="D68" s="280"/>
      <c r="E68" s="281"/>
      <c r="F68" s="5">
        <v>213</v>
      </c>
    </row>
    <row r="69" spans="1:6" x14ac:dyDescent="0.25">
      <c r="A69" s="283">
        <v>220</v>
      </c>
      <c r="B69" s="284">
        <v>220</v>
      </c>
      <c r="C69" s="279">
        <v>220</v>
      </c>
      <c r="D69" s="280">
        <v>215</v>
      </c>
      <c r="E69" s="281">
        <v>215</v>
      </c>
      <c r="F69" s="5">
        <v>215</v>
      </c>
    </row>
    <row r="70" spans="1:6" x14ac:dyDescent="0.25">
      <c r="A70" s="283"/>
      <c r="B70" s="284"/>
      <c r="C70" s="279"/>
      <c r="D70" s="280"/>
      <c r="E70" s="281"/>
      <c r="F70" s="5">
        <v>218</v>
      </c>
    </row>
    <row r="71" spans="1:6" x14ac:dyDescent="0.25">
      <c r="A71" s="283"/>
      <c r="B71" s="284"/>
      <c r="C71" s="279"/>
      <c r="D71" s="280"/>
      <c r="E71" s="281">
        <v>221</v>
      </c>
      <c r="F71" s="5">
        <v>221</v>
      </c>
    </row>
    <row r="72" spans="1:6" x14ac:dyDescent="0.25">
      <c r="A72" s="283"/>
      <c r="B72" s="284"/>
      <c r="C72" s="279"/>
      <c r="D72" s="280"/>
      <c r="E72" s="281"/>
      <c r="F72" s="5">
        <v>223</v>
      </c>
    </row>
    <row r="73" spans="1:6" x14ac:dyDescent="0.25">
      <c r="A73" s="283"/>
      <c r="B73" s="284"/>
      <c r="C73" s="279"/>
      <c r="D73" s="280">
        <v>226</v>
      </c>
      <c r="E73" s="281">
        <v>226</v>
      </c>
      <c r="F73" s="5">
        <v>226</v>
      </c>
    </row>
    <row r="74" spans="1:6" x14ac:dyDescent="0.25">
      <c r="A74" s="283"/>
      <c r="B74" s="284"/>
      <c r="C74" s="279"/>
      <c r="D74" s="280"/>
      <c r="E74" s="281"/>
      <c r="F74" s="5">
        <v>229</v>
      </c>
    </row>
    <row r="75" spans="1:6" x14ac:dyDescent="0.25">
      <c r="A75" s="283"/>
      <c r="B75" s="284"/>
      <c r="C75" s="279"/>
      <c r="D75" s="280"/>
      <c r="E75" s="281">
        <v>232</v>
      </c>
      <c r="F75" s="5">
        <v>232</v>
      </c>
    </row>
    <row r="76" spans="1:6" x14ac:dyDescent="0.25">
      <c r="A76" s="283"/>
      <c r="B76" s="284"/>
      <c r="C76" s="279"/>
      <c r="D76" s="280"/>
      <c r="E76" s="281"/>
      <c r="F76" s="5">
        <v>234</v>
      </c>
    </row>
    <row r="77" spans="1:6" x14ac:dyDescent="0.25">
      <c r="A77" s="283"/>
      <c r="B77" s="284"/>
      <c r="C77" s="279">
        <v>240</v>
      </c>
      <c r="D77" s="280">
        <v>237</v>
      </c>
      <c r="E77" s="281">
        <v>237</v>
      </c>
      <c r="F77" s="5">
        <v>237</v>
      </c>
    </row>
    <row r="78" spans="1:6" x14ac:dyDescent="0.25">
      <c r="A78" s="283"/>
      <c r="B78" s="284"/>
      <c r="C78" s="279"/>
      <c r="D78" s="280"/>
      <c r="E78" s="281"/>
      <c r="F78" s="5">
        <v>240</v>
      </c>
    </row>
    <row r="79" spans="1:6" x14ac:dyDescent="0.25">
      <c r="A79" s="283"/>
      <c r="B79" s="284"/>
      <c r="C79" s="279"/>
      <c r="D79" s="280"/>
      <c r="E79" s="281">
        <v>243</v>
      </c>
      <c r="F79" s="5">
        <v>243</v>
      </c>
    </row>
    <row r="80" spans="1:6" x14ac:dyDescent="0.25">
      <c r="A80" s="283"/>
      <c r="B80" s="284"/>
      <c r="C80" s="279"/>
      <c r="D80" s="280"/>
      <c r="E80" s="281"/>
      <c r="F80" s="5">
        <v>246</v>
      </c>
    </row>
    <row r="81" spans="1:6" x14ac:dyDescent="0.25">
      <c r="A81" s="283"/>
      <c r="B81" s="284"/>
      <c r="C81" s="279"/>
      <c r="D81" s="280">
        <v>249</v>
      </c>
      <c r="E81" s="281">
        <v>249</v>
      </c>
      <c r="F81" s="5">
        <v>249</v>
      </c>
    </row>
    <row r="82" spans="1:6" x14ac:dyDescent="0.25">
      <c r="A82" s="283"/>
      <c r="B82" s="284"/>
      <c r="C82" s="279"/>
      <c r="D82" s="280"/>
      <c r="E82" s="281"/>
      <c r="F82" s="5">
        <v>252</v>
      </c>
    </row>
    <row r="83" spans="1:6" x14ac:dyDescent="0.25">
      <c r="A83" s="283"/>
      <c r="B83" s="284"/>
      <c r="C83" s="279"/>
      <c r="D83" s="280"/>
      <c r="E83" s="281">
        <v>255</v>
      </c>
      <c r="F83" s="5">
        <v>255</v>
      </c>
    </row>
    <row r="84" spans="1:6" x14ac:dyDescent="0.25">
      <c r="A84" s="283"/>
      <c r="B84" s="284"/>
      <c r="C84" s="279"/>
      <c r="D84" s="280"/>
      <c r="E84" s="281"/>
      <c r="F84" s="5">
        <v>258</v>
      </c>
    </row>
    <row r="85" spans="1:6" x14ac:dyDescent="0.25">
      <c r="A85" s="283"/>
      <c r="B85" s="284">
        <v>270</v>
      </c>
      <c r="C85" s="279">
        <v>270</v>
      </c>
      <c r="D85" s="280">
        <v>261</v>
      </c>
      <c r="E85" s="281">
        <v>261</v>
      </c>
      <c r="F85" s="5">
        <v>261</v>
      </c>
    </row>
    <row r="86" spans="1:6" x14ac:dyDescent="0.25">
      <c r="A86" s="283"/>
      <c r="B86" s="284"/>
      <c r="C86" s="279"/>
      <c r="D86" s="280"/>
      <c r="E86" s="281"/>
      <c r="F86" s="5">
        <v>264</v>
      </c>
    </row>
    <row r="87" spans="1:6" x14ac:dyDescent="0.25">
      <c r="A87" s="283"/>
      <c r="B87" s="284"/>
      <c r="C87" s="279"/>
      <c r="D87" s="280"/>
      <c r="E87" s="281">
        <v>267</v>
      </c>
      <c r="F87" s="5">
        <v>267</v>
      </c>
    </row>
    <row r="88" spans="1:6" x14ac:dyDescent="0.25">
      <c r="A88" s="283"/>
      <c r="B88" s="284"/>
      <c r="C88" s="279"/>
      <c r="D88" s="280"/>
      <c r="E88" s="281"/>
      <c r="F88" s="5">
        <v>271</v>
      </c>
    </row>
    <row r="89" spans="1:6" x14ac:dyDescent="0.25">
      <c r="A89" s="283"/>
      <c r="B89" s="284"/>
      <c r="C89" s="279"/>
      <c r="D89" s="280">
        <v>274</v>
      </c>
      <c r="E89" s="281">
        <v>274</v>
      </c>
      <c r="F89" s="5">
        <v>274</v>
      </c>
    </row>
    <row r="90" spans="1:6" x14ac:dyDescent="0.25">
      <c r="A90" s="283"/>
      <c r="B90" s="284"/>
      <c r="C90" s="279"/>
      <c r="D90" s="280"/>
      <c r="E90" s="281"/>
      <c r="F90" s="5">
        <v>277</v>
      </c>
    </row>
    <row r="91" spans="1:6" x14ac:dyDescent="0.25">
      <c r="A91" s="283"/>
      <c r="B91" s="284"/>
      <c r="C91" s="279"/>
      <c r="D91" s="280"/>
      <c r="E91" s="281">
        <v>280</v>
      </c>
      <c r="F91" s="5">
        <v>280</v>
      </c>
    </row>
    <row r="92" spans="1:6" x14ac:dyDescent="0.25">
      <c r="A92" s="283"/>
      <c r="B92" s="284"/>
      <c r="C92" s="279"/>
      <c r="D92" s="280"/>
      <c r="E92" s="281"/>
      <c r="F92" s="5">
        <v>284</v>
      </c>
    </row>
    <row r="93" spans="1:6" x14ac:dyDescent="0.25">
      <c r="A93" s="283"/>
      <c r="B93" s="284"/>
      <c r="C93" s="279">
        <v>300</v>
      </c>
      <c r="D93" s="280">
        <v>287</v>
      </c>
      <c r="E93" s="281">
        <v>287</v>
      </c>
      <c r="F93" s="5">
        <v>287</v>
      </c>
    </row>
    <row r="94" spans="1:6" x14ac:dyDescent="0.25">
      <c r="A94" s="283"/>
      <c r="B94" s="284"/>
      <c r="C94" s="279"/>
      <c r="D94" s="280"/>
      <c r="E94" s="281"/>
      <c r="F94" s="5">
        <v>291</v>
      </c>
    </row>
    <row r="95" spans="1:6" x14ac:dyDescent="0.25">
      <c r="A95" s="283"/>
      <c r="B95" s="284"/>
      <c r="C95" s="279"/>
      <c r="D95" s="280"/>
      <c r="E95" s="281">
        <v>294</v>
      </c>
      <c r="F95" s="5">
        <v>294</v>
      </c>
    </row>
    <row r="96" spans="1:6" x14ac:dyDescent="0.25">
      <c r="A96" s="283"/>
      <c r="B96" s="284"/>
      <c r="C96" s="279"/>
      <c r="D96" s="280"/>
      <c r="E96" s="281"/>
      <c r="F96" s="5">
        <v>298</v>
      </c>
    </row>
    <row r="97" spans="1:6" x14ac:dyDescent="0.25">
      <c r="A97" s="283"/>
      <c r="B97" s="284"/>
      <c r="C97" s="279"/>
      <c r="D97" s="280">
        <v>301</v>
      </c>
      <c r="E97" s="281">
        <v>301</v>
      </c>
      <c r="F97" s="5">
        <v>301</v>
      </c>
    </row>
    <row r="98" spans="1:6" x14ac:dyDescent="0.25">
      <c r="A98" s="283"/>
      <c r="B98" s="284"/>
      <c r="C98" s="279"/>
      <c r="D98" s="280"/>
      <c r="E98" s="281"/>
      <c r="F98" s="5">
        <v>305</v>
      </c>
    </row>
    <row r="99" spans="1:6" x14ac:dyDescent="0.25">
      <c r="A99" s="283"/>
      <c r="B99" s="284"/>
      <c r="C99" s="279"/>
      <c r="D99" s="280"/>
      <c r="E99" s="281">
        <v>309</v>
      </c>
      <c r="F99" s="5">
        <v>309</v>
      </c>
    </row>
    <row r="100" spans="1:6" x14ac:dyDescent="0.25">
      <c r="A100" s="283"/>
      <c r="B100" s="284"/>
      <c r="C100" s="279"/>
      <c r="D100" s="280"/>
      <c r="E100" s="281"/>
      <c r="F100" s="5">
        <v>312</v>
      </c>
    </row>
    <row r="101" spans="1:6" x14ac:dyDescent="0.25">
      <c r="A101" s="283">
        <v>330</v>
      </c>
      <c r="B101" s="284">
        <v>330</v>
      </c>
      <c r="C101" s="279">
        <v>330</v>
      </c>
      <c r="D101" s="280">
        <v>316</v>
      </c>
      <c r="E101" s="281">
        <v>316</v>
      </c>
      <c r="F101" s="5">
        <v>316</v>
      </c>
    </row>
    <row r="102" spans="1:6" x14ac:dyDescent="0.25">
      <c r="A102" s="283"/>
      <c r="B102" s="284"/>
      <c r="C102" s="279"/>
      <c r="D102" s="280"/>
      <c r="E102" s="281"/>
      <c r="F102" s="5">
        <v>320</v>
      </c>
    </row>
    <row r="103" spans="1:6" x14ac:dyDescent="0.25">
      <c r="A103" s="283"/>
      <c r="B103" s="284"/>
      <c r="C103" s="279"/>
      <c r="D103" s="280"/>
      <c r="E103" s="281">
        <v>324</v>
      </c>
      <c r="F103" s="5">
        <v>324</v>
      </c>
    </row>
    <row r="104" spans="1:6" x14ac:dyDescent="0.25">
      <c r="A104" s="283"/>
      <c r="B104" s="284"/>
      <c r="C104" s="279"/>
      <c r="D104" s="280"/>
      <c r="E104" s="281"/>
      <c r="F104" s="5">
        <v>328</v>
      </c>
    </row>
    <row r="105" spans="1:6" x14ac:dyDescent="0.25">
      <c r="A105" s="283"/>
      <c r="B105" s="284"/>
      <c r="C105" s="279"/>
      <c r="D105" s="280">
        <v>332</v>
      </c>
      <c r="E105" s="281">
        <v>332</v>
      </c>
      <c r="F105" s="5">
        <v>332</v>
      </c>
    </row>
    <row r="106" spans="1:6" x14ac:dyDescent="0.25">
      <c r="A106" s="283"/>
      <c r="B106" s="284"/>
      <c r="C106" s="279"/>
      <c r="D106" s="280"/>
      <c r="E106" s="281"/>
      <c r="F106" s="5">
        <v>336</v>
      </c>
    </row>
    <row r="107" spans="1:6" x14ac:dyDescent="0.25">
      <c r="A107" s="283"/>
      <c r="B107" s="284"/>
      <c r="C107" s="279"/>
      <c r="D107" s="280"/>
      <c r="E107" s="281">
        <v>340</v>
      </c>
      <c r="F107" s="5">
        <v>340</v>
      </c>
    </row>
    <row r="108" spans="1:6" x14ac:dyDescent="0.25">
      <c r="A108" s="283"/>
      <c r="B108" s="284"/>
      <c r="C108" s="279"/>
      <c r="D108" s="280"/>
      <c r="E108" s="281"/>
      <c r="F108" s="5">
        <v>344</v>
      </c>
    </row>
    <row r="109" spans="1:6" x14ac:dyDescent="0.25">
      <c r="A109" s="283"/>
      <c r="B109" s="284"/>
      <c r="C109" s="279">
        <v>360</v>
      </c>
      <c r="D109" s="280">
        <v>348</v>
      </c>
      <c r="E109" s="281">
        <v>348</v>
      </c>
      <c r="F109" s="5">
        <v>348</v>
      </c>
    </row>
    <row r="110" spans="1:6" x14ac:dyDescent="0.25">
      <c r="A110" s="283"/>
      <c r="B110" s="284"/>
      <c r="C110" s="279"/>
      <c r="D110" s="280"/>
      <c r="E110" s="281"/>
      <c r="F110" s="5">
        <v>352</v>
      </c>
    </row>
    <row r="111" spans="1:6" x14ac:dyDescent="0.25">
      <c r="A111" s="283"/>
      <c r="B111" s="284"/>
      <c r="C111" s="279"/>
      <c r="D111" s="280"/>
      <c r="E111" s="281">
        <v>357</v>
      </c>
      <c r="F111" s="5">
        <v>357</v>
      </c>
    </row>
    <row r="112" spans="1:6" x14ac:dyDescent="0.25">
      <c r="A112" s="283"/>
      <c r="B112" s="284"/>
      <c r="C112" s="279"/>
      <c r="D112" s="280"/>
      <c r="E112" s="281"/>
      <c r="F112" s="5">
        <v>361</v>
      </c>
    </row>
    <row r="113" spans="1:6" x14ac:dyDescent="0.25">
      <c r="A113" s="283"/>
      <c r="B113" s="284"/>
      <c r="C113" s="279"/>
      <c r="D113" s="280">
        <v>365</v>
      </c>
      <c r="E113" s="281">
        <v>365</v>
      </c>
      <c r="F113" s="5">
        <v>365</v>
      </c>
    </row>
    <row r="114" spans="1:6" x14ac:dyDescent="0.25">
      <c r="A114" s="283"/>
      <c r="B114" s="284"/>
      <c r="C114" s="279"/>
      <c r="D114" s="280"/>
      <c r="E114" s="281"/>
      <c r="F114" s="5">
        <v>370</v>
      </c>
    </row>
    <row r="115" spans="1:6" x14ac:dyDescent="0.25">
      <c r="A115" s="283"/>
      <c r="B115" s="284"/>
      <c r="C115" s="279"/>
      <c r="D115" s="280"/>
      <c r="E115" s="281">
        <v>374</v>
      </c>
      <c r="F115" s="5">
        <v>374</v>
      </c>
    </row>
    <row r="116" spans="1:6" x14ac:dyDescent="0.25">
      <c r="A116" s="283"/>
      <c r="B116" s="284"/>
      <c r="C116" s="279"/>
      <c r="D116" s="280"/>
      <c r="E116" s="281"/>
      <c r="F116" s="5">
        <v>379</v>
      </c>
    </row>
    <row r="117" spans="1:6" x14ac:dyDescent="0.25">
      <c r="A117" s="283"/>
      <c r="B117" s="284">
        <v>390</v>
      </c>
      <c r="C117" s="279">
        <v>390</v>
      </c>
      <c r="D117" s="280">
        <v>383</v>
      </c>
      <c r="E117" s="281">
        <v>383</v>
      </c>
      <c r="F117" s="5">
        <v>383</v>
      </c>
    </row>
    <row r="118" spans="1:6" x14ac:dyDescent="0.25">
      <c r="A118" s="283"/>
      <c r="B118" s="284"/>
      <c r="C118" s="279"/>
      <c r="D118" s="280"/>
      <c r="E118" s="281"/>
      <c r="F118" s="5">
        <v>388</v>
      </c>
    </row>
    <row r="119" spans="1:6" x14ac:dyDescent="0.25">
      <c r="A119" s="283"/>
      <c r="B119" s="284"/>
      <c r="C119" s="279"/>
      <c r="D119" s="280"/>
      <c r="E119" s="281">
        <v>392</v>
      </c>
      <c r="F119" s="5">
        <v>392</v>
      </c>
    </row>
    <row r="120" spans="1:6" x14ac:dyDescent="0.25">
      <c r="A120" s="283"/>
      <c r="B120" s="284"/>
      <c r="C120" s="279"/>
      <c r="D120" s="280"/>
      <c r="E120" s="281"/>
      <c r="F120" s="5">
        <v>397</v>
      </c>
    </row>
    <row r="121" spans="1:6" x14ac:dyDescent="0.25">
      <c r="A121" s="283"/>
      <c r="B121" s="284"/>
      <c r="C121" s="279"/>
      <c r="D121" s="280">
        <v>402</v>
      </c>
      <c r="E121" s="281">
        <v>402</v>
      </c>
      <c r="F121" s="5">
        <v>402</v>
      </c>
    </row>
    <row r="122" spans="1:6" x14ac:dyDescent="0.25">
      <c r="A122" s="283"/>
      <c r="B122" s="284"/>
      <c r="C122" s="279"/>
      <c r="D122" s="280"/>
      <c r="E122" s="281"/>
      <c r="F122" s="5">
        <v>407</v>
      </c>
    </row>
    <row r="123" spans="1:6" x14ac:dyDescent="0.25">
      <c r="A123" s="283"/>
      <c r="B123" s="284"/>
      <c r="C123" s="279"/>
      <c r="D123" s="280"/>
      <c r="E123" s="281">
        <v>412</v>
      </c>
      <c r="F123" s="5">
        <v>412</v>
      </c>
    </row>
    <row r="124" spans="1:6" x14ac:dyDescent="0.25">
      <c r="A124" s="283"/>
      <c r="B124" s="284"/>
      <c r="C124" s="279"/>
      <c r="D124" s="280"/>
      <c r="E124" s="281"/>
      <c r="F124" s="5">
        <v>417</v>
      </c>
    </row>
    <row r="125" spans="1:6" x14ac:dyDescent="0.25">
      <c r="A125" s="283"/>
      <c r="B125" s="284"/>
      <c r="C125" s="279">
        <v>430</v>
      </c>
      <c r="D125" s="280">
        <v>422</v>
      </c>
      <c r="E125" s="281">
        <v>422</v>
      </c>
      <c r="F125" s="5">
        <v>422</v>
      </c>
    </row>
    <row r="126" spans="1:6" x14ac:dyDescent="0.25">
      <c r="A126" s="283"/>
      <c r="B126" s="284"/>
      <c r="C126" s="279"/>
      <c r="D126" s="280"/>
      <c r="E126" s="281"/>
      <c r="F126" s="5">
        <v>427</v>
      </c>
    </row>
    <row r="127" spans="1:6" x14ac:dyDescent="0.25">
      <c r="A127" s="283"/>
      <c r="B127" s="284"/>
      <c r="C127" s="279"/>
      <c r="D127" s="280"/>
      <c r="E127" s="281">
        <v>432</v>
      </c>
      <c r="F127" s="5">
        <v>432</v>
      </c>
    </row>
    <row r="128" spans="1:6" x14ac:dyDescent="0.25">
      <c r="A128" s="283"/>
      <c r="B128" s="284"/>
      <c r="C128" s="279"/>
      <c r="D128" s="280"/>
      <c r="E128" s="281"/>
      <c r="F128" s="5">
        <v>437</v>
      </c>
    </row>
    <row r="129" spans="1:6" x14ac:dyDescent="0.25">
      <c r="A129" s="283"/>
      <c r="B129" s="284"/>
      <c r="C129" s="279"/>
      <c r="D129" s="280">
        <v>442</v>
      </c>
      <c r="E129" s="281">
        <v>442</v>
      </c>
      <c r="F129" s="5">
        <v>442</v>
      </c>
    </row>
    <row r="130" spans="1:6" x14ac:dyDescent="0.25">
      <c r="A130" s="283"/>
      <c r="B130" s="284"/>
      <c r="C130" s="279"/>
      <c r="D130" s="280"/>
      <c r="E130" s="281"/>
      <c r="F130" s="5">
        <v>448</v>
      </c>
    </row>
    <row r="131" spans="1:6" x14ac:dyDescent="0.25">
      <c r="A131" s="283"/>
      <c r="B131" s="284"/>
      <c r="C131" s="279"/>
      <c r="D131" s="280"/>
      <c r="E131" s="281">
        <v>453</v>
      </c>
      <c r="F131" s="5">
        <v>453</v>
      </c>
    </row>
    <row r="132" spans="1:6" x14ac:dyDescent="0.25">
      <c r="A132" s="283"/>
      <c r="B132" s="284"/>
      <c r="C132" s="279"/>
      <c r="D132" s="280"/>
      <c r="E132" s="281"/>
      <c r="F132" s="5">
        <v>459</v>
      </c>
    </row>
    <row r="133" spans="1:6" x14ac:dyDescent="0.25">
      <c r="A133" s="283">
        <v>470</v>
      </c>
      <c r="B133" s="284">
        <v>470</v>
      </c>
      <c r="C133" s="279">
        <v>470</v>
      </c>
      <c r="D133" s="280">
        <v>464</v>
      </c>
      <c r="E133" s="281">
        <v>464</v>
      </c>
      <c r="F133" s="5">
        <v>464</v>
      </c>
    </row>
    <row r="134" spans="1:6" x14ac:dyDescent="0.25">
      <c r="A134" s="283"/>
      <c r="B134" s="284"/>
      <c r="C134" s="279"/>
      <c r="D134" s="280"/>
      <c r="E134" s="281"/>
      <c r="F134" s="5">
        <v>470</v>
      </c>
    </row>
    <row r="135" spans="1:6" x14ac:dyDescent="0.25">
      <c r="A135" s="283"/>
      <c r="B135" s="284"/>
      <c r="C135" s="279"/>
      <c r="D135" s="280"/>
      <c r="E135" s="281">
        <v>475</v>
      </c>
      <c r="F135" s="5">
        <v>475</v>
      </c>
    </row>
    <row r="136" spans="1:6" x14ac:dyDescent="0.25">
      <c r="A136" s="283"/>
      <c r="B136" s="284"/>
      <c r="C136" s="279"/>
      <c r="D136" s="280"/>
      <c r="E136" s="281"/>
      <c r="F136" s="5">
        <v>481</v>
      </c>
    </row>
    <row r="137" spans="1:6" x14ac:dyDescent="0.25">
      <c r="A137" s="283"/>
      <c r="B137" s="284"/>
      <c r="C137" s="279"/>
      <c r="D137" s="280">
        <v>487</v>
      </c>
      <c r="E137" s="281">
        <v>487</v>
      </c>
      <c r="F137" s="5">
        <v>487</v>
      </c>
    </row>
    <row r="138" spans="1:6" x14ac:dyDescent="0.25">
      <c r="A138" s="283"/>
      <c r="B138" s="284"/>
      <c r="C138" s="279"/>
      <c r="D138" s="280"/>
      <c r="E138" s="281"/>
      <c r="F138" s="5">
        <v>493</v>
      </c>
    </row>
    <row r="139" spans="1:6" x14ac:dyDescent="0.25">
      <c r="A139" s="283"/>
      <c r="B139" s="284"/>
      <c r="C139" s="279"/>
      <c r="D139" s="280"/>
      <c r="E139" s="281">
        <v>499</v>
      </c>
      <c r="F139" s="5">
        <v>499</v>
      </c>
    </row>
    <row r="140" spans="1:6" x14ac:dyDescent="0.25">
      <c r="A140" s="283"/>
      <c r="B140" s="284"/>
      <c r="C140" s="279"/>
      <c r="D140" s="280"/>
      <c r="E140" s="281"/>
      <c r="F140" s="5">
        <v>505</v>
      </c>
    </row>
    <row r="141" spans="1:6" x14ac:dyDescent="0.25">
      <c r="A141" s="283"/>
      <c r="B141" s="284"/>
      <c r="C141" s="279">
        <v>510</v>
      </c>
      <c r="D141" s="280">
        <v>511</v>
      </c>
      <c r="E141" s="281">
        <v>511</v>
      </c>
      <c r="F141" s="5">
        <v>511</v>
      </c>
    </row>
    <row r="142" spans="1:6" x14ac:dyDescent="0.25">
      <c r="A142" s="283"/>
      <c r="B142" s="284"/>
      <c r="C142" s="279"/>
      <c r="D142" s="280"/>
      <c r="E142" s="281"/>
      <c r="F142" s="5">
        <v>517</v>
      </c>
    </row>
    <row r="143" spans="1:6" x14ac:dyDescent="0.25">
      <c r="A143" s="283"/>
      <c r="B143" s="284"/>
      <c r="C143" s="279"/>
      <c r="D143" s="280"/>
      <c r="E143" s="281">
        <v>523</v>
      </c>
      <c r="F143" s="5">
        <v>523</v>
      </c>
    </row>
    <row r="144" spans="1:6" x14ac:dyDescent="0.25">
      <c r="A144" s="283"/>
      <c r="B144" s="284"/>
      <c r="C144" s="279"/>
      <c r="D144" s="280"/>
      <c r="E144" s="281"/>
      <c r="F144" s="5">
        <v>530</v>
      </c>
    </row>
    <row r="145" spans="1:6" x14ac:dyDescent="0.25">
      <c r="A145" s="283"/>
      <c r="B145" s="284"/>
      <c r="C145" s="279"/>
      <c r="D145" s="280">
        <v>536</v>
      </c>
      <c r="E145" s="281">
        <v>536</v>
      </c>
      <c r="F145" s="5">
        <v>536</v>
      </c>
    </row>
    <row r="146" spans="1:6" x14ac:dyDescent="0.25">
      <c r="A146" s="283"/>
      <c r="B146" s="284"/>
      <c r="C146" s="279"/>
      <c r="D146" s="280"/>
      <c r="E146" s="281"/>
      <c r="F146" s="5">
        <v>542</v>
      </c>
    </row>
    <row r="147" spans="1:6" x14ac:dyDescent="0.25">
      <c r="A147" s="283"/>
      <c r="B147" s="284"/>
      <c r="C147" s="279"/>
      <c r="D147" s="280"/>
      <c r="E147" s="281">
        <v>549</v>
      </c>
      <c r="F147" s="5">
        <v>549</v>
      </c>
    </row>
    <row r="148" spans="1:6" x14ac:dyDescent="0.25">
      <c r="A148" s="283"/>
      <c r="B148" s="284"/>
      <c r="C148" s="279"/>
      <c r="D148" s="280"/>
      <c r="E148" s="281"/>
      <c r="F148" s="5">
        <v>556</v>
      </c>
    </row>
    <row r="149" spans="1:6" x14ac:dyDescent="0.25">
      <c r="A149" s="283"/>
      <c r="B149" s="284">
        <v>560</v>
      </c>
      <c r="C149" s="279">
        <v>560</v>
      </c>
      <c r="D149" s="280">
        <v>562</v>
      </c>
      <c r="E149" s="281">
        <v>562</v>
      </c>
      <c r="F149" s="5">
        <v>562</v>
      </c>
    </row>
    <row r="150" spans="1:6" x14ac:dyDescent="0.25">
      <c r="A150" s="283"/>
      <c r="B150" s="284"/>
      <c r="C150" s="279"/>
      <c r="D150" s="280"/>
      <c r="E150" s="281"/>
      <c r="F150" s="5">
        <v>569</v>
      </c>
    </row>
    <row r="151" spans="1:6" x14ac:dyDescent="0.25">
      <c r="A151" s="283"/>
      <c r="B151" s="284"/>
      <c r="C151" s="279"/>
      <c r="D151" s="280"/>
      <c r="E151" s="281">
        <v>576</v>
      </c>
      <c r="F151" s="5">
        <v>576</v>
      </c>
    </row>
    <row r="152" spans="1:6" x14ac:dyDescent="0.25">
      <c r="A152" s="283"/>
      <c r="B152" s="284"/>
      <c r="C152" s="279"/>
      <c r="D152" s="280"/>
      <c r="E152" s="281"/>
      <c r="F152" s="5">
        <v>583</v>
      </c>
    </row>
    <row r="153" spans="1:6" x14ac:dyDescent="0.25">
      <c r="A153" s="283"/>
      <c r="B153" s="284"/>
      <c r="C153" s="279"/>
      <c r="D153" s="280">
        <v>590</v>
      </c>
      <c r="E153" s="281">
        <v>590</v>
      </c>
      <c r="F153" s="5">
        <v>590</v>
      </c>
    </row>
    <row r="154" spans="1:6" x14ac:dyDescent="0.25">
      <c r="A154" s="283"/>
      <c r="B154" s="284"/>
      <c r="C154" s="279"/>
      <c r="D154" s="280"/>
      <c r="E154" s="281"/>
      <c r="F154" s="5">
        <v>597</v>
      </c>
    </row>
    <row r="155" spans="1:6" x14ac:dyDescent="0.25">
      <c r="A155" s="283"/>
      <c r="B155" s="284"/>
      <c r="C155" s="279"/>
      <c r="D155" s="280"/>
      <c r="E155" s="281">
        <v>604</v>
      </c>
      <c r="F155" s="5">
        <v>604</v>
      </c>
    </row>
    <row r="156" spans="1:6" x14ac:dyDescent="0.25">
      <c r="A156" s="283"/>
      <c r="B156" s="284"/>
      <c r="C156" s="279"/>
      <c r="D156" s="280"/>
      <c r="E156" s="281"/>
      <c r="F156" s="5">
        <v>612</v>
      </c>
    </row>
    <row r="157" spans="1:6" x14ac:dyDescent="0.25">
      <c r="A157" s="283"/>
      <c r="B157" s="284"/>
      <c r="C157" s="279">
        <v>620</v>
      </c>
      <c r="D157" s="280">
        <v>619</v>
      </c>
      <c r="E157" s="281">
        <v>619</v>
      </c>
      <c r="F157" s="5">
        <v>619</v>
      </c>
    </row>
    <row r="158" spans="1:6" x14ac:dyDescent="0.25">
      <c r="A158" s="283"/>
      <c r="B158" s="284"/>
      <c r="C158" s="279"/>
      <c r="D158" s="280"/>
      <c r="E158" s="281"/>
      <c r="F158" s="5">
        <v>626</v>
      </c>
    </row>
    <row r="159" spans="1:6" x14ac:dyDescent="0.25">
      <c r="A159" s="283"/>
      <c r="B159" s="284"/>
      <c r="C159" s="279"/>
      <c r="D159" s="280"/>
      <c r="E159" s="281">
        <v>634</v>
      </c>
      <c r="F159" s="5">
        <v>634</v>
      </c>
    </row>
    <row r="160" spans="1:6" x14ac:dyDescent="0.25">
      <c r="A160" s="283"/>
      <c r="B160" s="284"/>
      <c r="C160" s="279"/>
      <c r="D160" s="280"/>
      <c r="E160" s="281"/>
      <c r="F160" s="5">
        <v>642</v>
      </c>
    </row>
    <row r="161" spans="1:6" x14ac:dyDescent="0.25">
      <c r="A161" s="283"/>
      <c r="B161" s="284"/>
      <c r="C161" s="279"/>
      <c r="D161" s="280">
        <v>649</v>
      </c>
      <c r="E161" s="281">
        <v>649</v>
      </c>
      <c r="F161" s="5">
        <v>649</v>
      </c>
    </row>
    <row r="162" spans="1:6" x14ac:dyDescent="0.25">
      <c r="A162" s="283"/>
      <c r="B162" s="284"/>
      <c r="C162" s="279"/>
      <c r="D162" s="280"/>
      <c r="E162" s="281"/>
      <c r="F162" s="5">
        <v>657</v>
      </c>
    </row>
    <row r="163" spans="1:6" x14ac:dyDescent="0.25">
      <c r="A163" s="283"/>
      <c r="B163" s="284"/>
      <c r="C163" s="279"/>
      <c r="D163" s="280"/>
      <c r="E163" s="281">
        <v>665</v>
      </c>
      <c r="F163" s="5">
        <v>665</v>
      </c>
    </row>
    <row r="164" spans="1:6" x14ac:dyDescent="0.25">
      <c r="A164" s="283"/>
      <c r="B164" s="284"/>
      <c r="C164" s="279"/>
      <c r="D164" s="280"/>
      <c r="E164" s="281"/>
      <c r="F164" s="5">
        <v>673</v>
      </c>
    </row>
    <row r="165" spans="1:6" x14ac:dyDescent="0.25">
      <c r="A165" s="283">
        <v>680</v>
      </c>
      <c r="B165" s="284">
        <v>680</v>
      </c>
      <c r="C165" s="279">
        <v>680</v>
      </c>
      <c r="D165" s="280">
        <v>681</v>
      </c>
      <c r="E165" s="281">
        <v>681</v>
      </c>
      <c r="F165" s="5">
        <v>681</v>
      </c>
    </row>
    <row r="166" spans="1:6" x14ac:dyDescent="0.25">
      <c r="A166" s="283"/>
      <c r="B166" s="284"/>
      <c r="C166" s="279"/>
      <c r="D166" s="280"/>
      <c r="E166" s="281"/>
      <c r="F166" s="5">
        <v>690</v>
      </c>
    </row>
    <row r="167" spans="1:6" x14ac:dyDescent="0.25">
      <c r="A167" s="283"/>
      <c r="B167" s="284"/>
      <c r="C167" s="279"/>
      <c r="D167" s="280"/>
      <c r="E167" s="281">
        <v>698</v>
      </c>
      <c r="F167" s="5">
        <v>698</v>
      </c>
    </row>
    <row r="168" spans="1:6" x14ac:dyDescent="0.25">
      <c r="A168" s="283"/>
      <c r="B168" s="284"/>
      <c r="C168" s="279"/>
      <c r="D168" s="280"/>
      <c r="E168" s="281"/>
      <c r="F168" s="5">
        <v>706</v>
      </c>
    </row>
    <row r="169" spans="1:6" x14ac:dyDescent="0.25">
      <c r="A169" s="283"/>
      <c r="B169" s="284"/>
      <c r="C169" s="279"/>
      <c r="D169" s="280">
        <v>715</v>
      </c>
      <c r="E169" s="281">
        <v>715</v>
      </c>
      <c r="F169" s="5">
        <v>715</v>
      </c>
    </row>
    <row r="170" spans="1:6" x14ac:dyDescent="0.25">
      <c r="A170" s="283"/>
      <c r="B170" s="284"/>
      <c r="C170" s="279"/>
      <c r="D170" s="280"/>
      <c r="E170" s="281"/>
      <c r="F170" s="5">
        <v>723</v>
      </c>
    </row>
    <row r="171" spans="1:6" x14ac:dyDescent="0.25">
      <c r="A171" s="283"/>
      <c r="B171" s="284"/>
      <c r="C171" s="279"/>
      <c r="D171" s="280"/>
      <c r="E171" s="281">
        <v>732</v>
      </c>
      <c r="F171" s="5">
        <v>732</v>
      </c>
    </row>
    <row r="172" spans="1:6" x14ac:dyDescent="0.25">
      <c r="A172" s="283"/>
      <c r="B172" s="284"/>
      <c r="C172" s="279"/>
      <c r="D172" s="280"/>
      <c r="E172" s="281"/>
      <c r="F172" s="5">
        <v>741</v>
      </c>
    </row>
    <row r="173" spans="1:6" x14ac:dyDescent="0.25">
      <c r="A173" s="283"/>
      <c r="B173" s="284"/>
      <c r="C173" s="279">
        <v>750</v>
      </c>
      <c r="D173" s="280">
        <v>750</v>
      </c>
      <c r="E173" s="281">
        <v>750</v>
      </c>
      <c r="F173" s="5">
        <v>750</v>
      </c>
    </row>
    <row r="174" spans="1:6" x14ac:dyDescent="0.25">
      <c r="A174" s="283"/>
      <c r="B174" s="284"/>
      <c r="C174" s="279"/>
      <c r="D174" s="280"/>
      <c r="E174" s="281"/>
      <c r="F174" s="5">
        <v>759</v>
      </c>
    </row>
    <row r="175" spans="1:6" x14ac:dyDescent="0.25">
      <c r="A175" s="283"/>
      <c r="B175" s="284"/>
      <c r="C175" s="279"/>
      <c r="D175" s="280"/>
      <c r="E175" s="281">
        <v>768</v>
      </c>
      <c r="F175" s="5">
        <v>768</v>
      </c>
    </row>
    <row r="176" spans="1:6" x14ac:dyDescent="0.25">
      <c r="A176" s="283"/>
      <c r="B176" s="284"/>
      <c r="C176" s="279"/>
      <c r="D176" s="280"/>
      <c r="E176" s="281"/>
      <c r="F176" s="5">
        <v>777</v>
      </c>
    </row>
    <row r="177" spans="1:6" x14ac:dyDescent="0.25">
      <c r="A177" s="283"/>
      <c r="B177" s="284"/>
      <c r="C177" s="279"/>
      <c r="D177" s="280">
        <v>787</v>
      </c>
      <c r="E177" s="281">
        <v>787</v>
      </c>
      <c r="F177" s="5">
        <v>787</v>
      </c>
    </row>
    <row r="178" spans="1:6" x14ac:dyDescent="0.25">
      <c r="A178" s="283"/>
      <c r="B178" s="284"/>
      <c r="C178" s="279"/>
      <c r="D178" s="280"/>
      <c r="E178" s="281"/>
      <c r="F178" s="5">
        <v>796</v>
      </c>
    </row>
    <row r="179" spans="1:6" x14ac:dyDescent="0.25">
      <c r="A179" s="283"/>
      <c r="B179" s="284"/>
      <c r="C179" s="279"/>
      <c r="D179" s="280"/>
      <c r="E179" s="281">
        <v>806</v>
      </c>
      <c r="F179" s="5">
        <v>806</v>
      </c>
    </row>
    <row r="180" spans="1:6" x14ac:dyDescent="0.25">
      <c r="A180" s="283"/>
      <c r="B180" s="284"/>
      <c r="C180" s="279"/>
      <c r="D180" s="280"/>
      <c r="E180" s="281"/>
      <c r="F180" s="5">
        <v>816</v>
      </c>
    </row>
    <row r="181" spans="1:6" x14ac:dyDescent="0.25">
      <c r="A181" s="283"/>
      <c r="B181" s="284">
        <v>820</v>
      </c>
      <c r="C181" s="279">
        <v>820</v>
      </c>
      <c r="D181" s="280">
        <v>825</v>
      </c>
      <c r="E181" s="281">
        <v>825</v>
      </c>
      <c r="F181" s="5">
        <v>825</v>
      </c>
    </row>
    <row r="182" spans="1:6" x14ac:dyDescent="0.25">
      <c r="A182" s="283"/>
      <c r="B182" s="284"/>
      <c r="C182" s="279"/>
      <c r="D182" s="280"/>
      <c r="E182" s="281"/>
      <c r="F182" s="5">
        <v>835</v>
      </c>
    </row>
    <row r="183" spans="1:6" x14ac:dyDescent="0.25">
      <c r="A183" s="283"/>
      <c r="B183" s="284"/>
      <c r="C183" s="279"/>
      <c r="D183" s="280"/>
      <c r="E183" s="281">
        <v>845</v>
      </c>
      <c r="F183" s="5">
        <v>845</v>
      </c>
    </row>
    <row r="184" spans="1:6" x14ac:dyDescent="0.25">
      <c r="A184" s="283"/>
      <c r="B184" s="284"/>
      <c r="C184" s="279"/>
      <c r="D184" s="280"/>
      <c r="E184" s="281"/>
      <c r="F184" s="5">
        <v>856</v>
      </c>
    </row>
    <row r="185" spans="1:6" x14ac:dyDescent="0.25">
      <c r="A185" s="283"/>
      <c r="B185" s="284"/>
      <c r="C185" s="279"/>
      <c r="D185" s="280">
        <v>866</v>
      </c>
      <c r="E185" s="281">
        <v>866</v>
      </c>
      <c r="F185" s="5">
        <v>866</v>
      </c>
    </row>
    <row r="186" spans="1:6" x14ac:dyDescent="0.25">
      <c r="A186" s="283"/>
      <c r="B186" s="284"/>
      <c r="C186" s="279"/>
      <c r="D186" s="280"/>
      <c r="E186" s="281"/>
      <c r="F186" s="5">
        <v>876</v>
      </c>
    </row>
    <row r="187" spans="1:6" x14ac:dyDescent="0.25">
      <c r="A187" s="283"/>
      <c r="B187" s="284"/>
      <c r="C187" s="279"/>
      <c r="D187" s="280"/>
      <c r="E187" s="281">
        <v>887</v>
      </c>
      <c r="F187" s="5">
        <v>887</v>
      </c>
    </row>
    <row r="188" spans="1:6" x14ac:dyDescent="0.25">
      <c r="A188" s="283"/>
      <c r="B188" s="284"/>
      <c r="C188" s="279"/>
      <c r="D188" s="280"/>
      <c r="E188" s="281"/>
      <c r="F188" s="5">
        <v>898</v>
      </c>
    </row>
    <row r="189" spans="1:6" x14ac:dyDescent="0.25">
      <c r="A189" s="283"/>
      <c r="B189" s="284"/>
      <c r="C189" s="279">
        <v>910</v>
      </c>
      <c r="D189" s="280">
        <v>909</v>
      </c>
      <c r="E189" s="281">
        <v>909</v>
      </c>
      <c r="F189" s="5">
        <v>909</v>
      </c>
    </row>
    <row r="190" spans="1:6" x14ac:dyDescent="0.25">
      <c r="A190" s="283"/>
      <c r="B190" s="284"/>
      <c r="C190" s="279"/>
      <c r="D190" s="280"/>
      <c r="E190" s="281"/>
      <c r="F190" s="5">
        <v>920</v>
      </c>
    </row>
    <row r="191" spans="1:6" x14ac:dyDescent="0.25">
      <c r="A191" s="283"/>
      <c r="B191" s="284"/>
      <c r="C191" s="279"/>
      <c r="D191" s="280"/>
      <c r="E191" s="281">
        <v>931</v>
      </c>
      <c r="F191" s="5">
        <v>931</v>
      </c>
    </row>
    <row r="192" spans="1:6" x14ac:dyDescent="0.25">
      <c r="A192" s="283"/>
      <c r="B192" s="284"/>
      <c r="C192" s="279"/>
      <c r="D192" s="280"/>
      <c r="E192" s="281"/>
      <c r="F192" s="5">
        <v>942</v>
      </c>
    </row>
    <row r="193" spans="1:7" x14ac:dyDescent="0.25">
      <c r="A193" s="283"/>
      <c r="B193" s="284"/>
      <c r="C193" s="279"/>
      <c r="D193" s="280">
        <v>953</v>
      </c>
      <c r="E193" s="281">
        <v>953</v>
      </c>
      <c r="F193" s="5">
        <v>953</v>
      </c>
    </row>
    <row r="194" spans="1:7" x14ac:dyDescent="0.25">
      <c r="A194" s="283"/>
      <c r="B194" s="284"/>
      <c r="C194" s="279"/>
      <c r="D194" s="280"/>
      <c r="E194" s="281"/>
      <c r="F194" s="5">
        <v>965</v>
      </c>
    </row>
    <row r="195" spans="1:7" x14ac:dyDescent="0.25">
      <c r="A195" s="283"/>
      <c r="B195" s="284"/>
      <c r="C195" s="279"/>
      <c r="D195" s="280"/>
      <c r="E195" s="281">
        <v>976</v>
      </c>
      <c r="F195" s="5">
        <v>976</v>
      </c>
    </row>
    <row r="196" spans="1:7" x14ac:dyDescent="0.25">
      <c r="A196" s="283"/>
      <c r="B196" s="284"/>
      <c r="C196" s="279"/>
      <c r="D196" s="280"/>
      <c r="E196" s="281"/>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3" activePane="bottomRight" state="frozen"/>
      <selection activeCell="G170" sqref="G170"/>
      <selection pane="topRight" activeCell="G170" sqref="G170"/>
      <selection pane="bottomLeft" activeCell="G170" sqref="G170"/>
      <selection pane="bottomRight"/>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Q7" sqref="Q7"/>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143</v>
      </c>
      <c r="B1" t="s">
        <v>144</v>
      </c>
      <c r="C1" t="s">
        <v>145</v>
      </c>
      <c r="D1" t="s">
        <v>146</v>
      </c>
      <c r="E1" t="s">
        <v>147</v>
      </c>
      <c r="F1" t="s">
        <v>148</v>
      </c>
      <c r="G1" t="s">
        <v>149</v>
      </c>
    </row>
    <row r="2" spans="1:7" x14ac:dyDescent="0.25">
      <c r="A2">
        <v>25</v>
      </c>
      <c r="B2">
        <v>5.3529999999999998</v>
      </c>
      <c r="C2">
        <v>0.27399299999999999</v>
      </c>
      <c r="E2">
        <v>16</v>
      </c>
      <c r="F2">
        <f>E2*1000</f>
        <v>16000</v>
      </c>
      <c r="G2" s="148">
        <f>B2*C2</f>
        <v>1.4666845289999999</v>
      </c>
    </row>
    <row r="3" spans="1:7" x14ac:dyDescent="0.25">
      <c r="A3">
        <v>25</v>
      </c>
      <c r="B3">
        <v>6.8410000000000002</v>
      </c>
      <c r="C3">
        <v>0.27075900000000003</v>
      </c>
      <c r="E3">
        <v>16</v>
      </c>
      <c r="F3">
        <f t="shared" ref="F3:F21" si="0">E3*1000</f>
        <v>16000</v>
      </c>
      <c r="G3" s="148">
        <f>B3*C3</f>
        <v>1.8522623190000003</v>
      </c>
    </row>
    <row r="4" spans="1:7" x14ac:dyDescent="0.25">
      <c r="A4">
        <v>25</v>
      </c>
      <c r="B4">
        <v>8.9481760000000001</v>
      </c>
      <c r="C4">
        <v>0.261876</v>
      </c>
      <c r="D4">
        <v>13894435</v>
      </c>
      <c r="E4">
        <v>13.894435</v>
      </c>
      <c r="F4">
        <f t="shared" si="0"/>
        <v>13894.434999999999</v>
      </c>
      <c r="G4" s="148">
        <v>2.3433130000000002</v>
      </c>
    </row>
    <row r="5" spans="1:7" x14ac:dyDescent="0.25">
      <c r="A5">
        <v>25</v>
      </c>
      <c r="B5">
        <v>11.915012000000001</v>
      </c>
      <c r="C5">
        <v>0.26701200000000003</v>
      </c>
      <c r="D5">
        <v>2313228</v>
      </c>
      <c r="E5">
        <v>2.3132280000000001</v>
      </c>
      <c r="F5">
        <f t="shared" si="0"/>
        <v>2313.2280000000001</v>
      </c>
      <c r="G5" s="148">
        <v>3.181451</v>
      </c>
    </row>
    <row r="6" spans="1:7" x14ac:dyDescent="0.25">
      <c r="A6">
        <v>25</v>
      </c>
      <c r="B6">
        <v>14.348407999999999</v>
      </c>
      <c r="C6">
        <v>0.27335700000000002</v>
      </c>
      <c r="D6">
        <v>1179238</v>
      </c>
      <c r="E6">
        <v>1.179238</v>
      </c>
      <c r="F6">
        <f t="shared" si="0"/>
        <v>1179.2380000000001</v>
      </c>
      <c r="G6" s="148">
        <v>3.9222380000000001</v>
      </c>
    </row>
    <row r="7" spans="1:7" x14ac:dyDescent="0.25">
      <c r="A7">
        <v>25</v>
      </c>
      <c r="B7">
        <v>17.190396</v>
      </c>
      <c r="C7">
        <v>0.28403200000000001</v>
      </c>
      <c r="D7">
        <v>658129</v>
      </c>
      <c r="E7">
        <v>0.65812899999999996</v>
      </c>
      <c r="F7">
        <f t="shared" si="0"/>
        <v>658.12900000000002</v>
      </c>
      <c r="G7" s="148">
        <v>4.8826229999999997</v>
      </c>
    </row>
    <row r="8" spans="1:7" x14ac:dyDescent="0.25">
      <c r="A8">
        <v>25</v>
      </c>
      <c r="B8">
        <v>19.799713000000001</v>
      </c>
      <c r="C8">
        <v>0.29450599999999999</v>
      </c>
      <c r="D8">
        <v>420662</v>
      </c>
      <c r="E8">
        <v>0.42066199999999998</v>
      </c>
      <c r="F8">
        <f t="shared" si="0"/>
        <v>420.66199999999998</v>
      </c>
      <c r="G8" s="148">
        <v>5.8311339999999996</v>
      </c>
    </row>
    <row r="9" spans="1:7" x14ac:dyDescent="0.25">
      <c r="A9">
        <v>25</v>
      </c>
      <c r="B9">
        <v>5.3110600000000003</v>
      </c>
      <c r="C9">
        <v>1.316289</v>
      </c>
      <c r="D9">
        <v>130330</v>
      </c>
      <c r="E9">
        <v>0.13033</v>
      </c>
      <c r="F9">
        <f t="shared" si="0"/>
        <v>130.33000000000001</v>
      </c>
      <c r="G9" s="148">
        <v>6.9908900000000003</v>
      </c>
    </row>
    <row r="10" spans="1:7" x14ac:dyDescent="0.25">
      <c r="A10">
        <v>25</v>
      </c>
      <c r="B10">
        <v>6.8197210000000004</v>
      </c>
      <c r="C10">
        <v>1.203395</v>
      </c>
      <c r="D10">
        <v>30506</v>
      </c>
      <c r="E10">
        <v>3.0505999999999998E-2</v>
      </c>
      <c r="F10">
        <f t="shared" si="0"/>
        <v>30.505999999999997</v>
      </c>
      <c r="G10" s="148">
        <v>8.2068180000000002</v>
      </c>
    </row>
    <row r="11" spans="1:7" x14ac:dyDescent="0.25">
      <c r="A11">
        <v>25</v>
      </c>
      <c r="B11">
        <v>7.324999</v>
      </c>
      <c r="C11">
        <v>1.211452</v>
      </c>
      <c r="D11">
        <v>19211</v>
      </c>
      <c r="E11">
        <v>1.9210999999999999E-2</v>
      </c>
      <c r="F11">
        <f t="shared" si="0"/>
        <v>19.210999999999999</v>
      </c>
      <c r="G11" s="148">
        <v>8.8738849999999996</v>
      </c>
    </row>
    <row r="12" spans="1:7" x14ac:dyDescent="0.25">
      <c r="A12">
        <v>25</v>
      </c>
      <c r="B12">
        <v>8.7722549999999995</v>
      </c>
      <c r="C12">
        <v>1.166436</v>
      </c>
      <c r="D12">
        <v>6257</v>
      </c>
      <c r="E12">
        <v>6.2570000000000004E-3</v>
      </c>
      <c r="F12">
        <f t="shared" si="0"/>
        <v>6.2570000000000006</v>
      </c>
      <c r="G12" s="148">
        <v>10.232274</v>
      </c>
    </row>
    <row r="13" spans="1:7" x14ac:dyDescent="0.25">
      <c r="A13">
        <v>25</v>
      </c>
      <c r="B13">
        <v>16.575237000000001</v>
      </c>
      <c r="C13">
        <v>1.2151780000000001</v>
      </c>
      <c r="D13">
        <v>915</v>
      </c>
      <c r="E13">
        <v>9.1500000000000001E-4</v>
      </c>
      <c r="F13">
        <f t="shared" si="0"/>
        <v>0.91500000000000004</v>
      </c>
      <c r="G13" s="148">
        <v>20.141863000000001</v>
      </c>
    </row>
    <row r="14" spans="1:7" x14ac:dyDescent="0.25">
      <c r="A14">
        <v>25</v>
      </c>
      <c r="B14">
        <v>6.856617</v>
      </c>
      <c r="C14">
        <v>4.7034180000000001</v>
      </c>
      <c r="D14">
        <v>323</v>
      </c>
      <c r="E14">
        <v>3.2299999999999999E-4</v>
      </c>
      <c r="F14">
        <f t="shared" si="0"/>
        <v>0.32300000000000001</v>
      </c>
      <c r="G14" s="148">
        <v>32.249535999999999</v>
      </c>
    </row>
    <row r="15" spans="1:7" x14ac:dyDescent="0.25">
      <c r="A15">
        <v>25</v>
      </c>
      <c r="B15">
        <v>9.1899270000000008</v>
      </c>
      <c r="C15">
        <v>4.4264710000000003</v>
      </c>
      <c r="D15">
        <v>209</v>
      </c>
      <c r="E15">
        <v>2.0900000000000001E-4</v>
      </c>
      <c r="F15">
        <f t="shared" si="0"/>
        <v>0.20900000000000002</v>
      </c>
      <c r="G15" s="148">
        <v>40.678944999999999</v>
      </c>
    </row>
    <row r="16" spans="1:7" x14ac:dyDescent="0.25">
      <c r="A16">
        <v>25</v>
      </c>
      <c r="B16">
        <v>12.114768</v>
      </c>
      <c r="C16">
        <v>4.2250550000000002</v>
      </c>
      <c r="D16">
        <v>146</v>
      </c>
      <c r="E16">
        <v>1.46E-4</v>
      </c>
      <c r="F16">
        <f t="shared" si="0"/>
        <v>0.14599999999999999</v>
      </c>
      <c r="G16" s="148">
        <v>51.185561</v>
      </c>
    </row>
    <row r="17" spans="1:13" x14ac:dyDescent="0.25">
      <c r="A17">
        <v>25</v>
      </c>
      <c r="B17">
        <v>14.038558</v>
      </c>
      <c r="C17">
        <v>4.4889099999999997</v>
      </c>
      <c r="D17">
        <v>122</v>
      </c>
      <c r="E17">
        <v>1.22E-4</v>
      </c>
      <c r="F17">
        <f t="shared" si="0"/>
        <v>0.122</v>
      </c>
      <c r="G17" s="148">
        <v>63.017823</v>
      </c>
    </row>
    <row r="18" spans="1:13" x14ac:dyDescent="0.25">
      <c r="A18">
        <v>25</v>
      </c>
      <c r="B18">
        <v>15.945323</v>
      </c>
      <c r="C18">
        <v>4.56142</v>
      </c>
      <c r="D18">
        <v>105</v>
      </c>
      <c r="E18">
        <v>1.05E-4</v>
      </c>
      <c r="F18">
        <f t="shared" si="0"/>
        <v>0.10500000000000001</v>
      </c>
      <c r="G18" s="148">
        <v>72.733315000000005</v>
      </c>
    </row>
    <row r="19" spans="1:13" x14ac:dyDescent="0.25">
      <c r="A19">
        <v>25</v>
      </c>
      <c r="B19">
        <v>17.325458000000001</v>
      </c>
      <c r="C19">
        <v>4.6057309999999996</v>
      </c>
      <c r="D19">
        <v>98</v>
      </c>
      <c r="E19">
        <v>9.7999999999999997E-5</v>
      </c>
      <c r="F19">
        <f t="shared" si="0"/>
        <v>9.8000000000000004E-2</v>
      </c>
      <c r="G19" s="148">
        <v>79.796398999999994</v>
      </c>
    </row>
    <row r="20" spans="1:13" x14ac:dyDescent="0.25">
      <c r="A20">
        <v>25</v>
      </c>
      <c r="B20">
        <v>17.806688999999999</v>
      </c>
      <c r="C20">
        <v>4.6369509999999998</v>
      </c>
      <c r="D20">
        <v>95</v>
      </c>
      <c r="E20">
        <v>9.5000000000000005E-5</v>
      </c>
      <c r="F20">
        <f t="shared" si="0"/>
        <v>9.5000000000000001E-2</v>
      </c>
      <c r="G20" s="148">
        <v>82.568743999999995</v>
      </c>
    </row>
    <row r="21" spans="1:13" x14ac:dyDescent="0.25">
      <c r="A21">
        <v>25</v>
      </c>
      <c r="B21">
        <v>19.580662</v>
      </c>
      <c r="C21">
        <v>4.6802549999999998</v>
      </c>
      <c r="D21">
        <v>87</v>
      </c>
      <c r="E21">
        <v>8.7000000000000001E-5</v>
      </c>
      <c r="F21">
        <f t="shared" si="0"/>
        <v>8.6999999999999994E-2</v>
      </c>
      <c r="G21" s="148">
        <v>91.642491000000007</v>
      </c>
    </row>
    <row r="24" spans="1:13" x14ac:dyDescent="0.25">
      <c r="L24" s="36"/>
      <c r="M24" s="36"/>
    </row>
    <row r="25" spans="1:13" x14ac:dyDescent="0.25">
      <c r="L25" s="36"/>
      <c r="M25" s="36"/>
    </row>
    <row r="28" spans="1:13" x14ac:dyDescent="0.2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144</v>
      </c>
      <c r="C1" t="s">
        <v>145</v>
      </c>
      <c r="D1" t="s">
        <v>146</v>
      </c>
      <c r="E1" t="s">
        <v>149</v>
      </c>
      <c r="F1" t="s">
        <v>147</v>
      </c>
      <c r="G1" t="s">
        <v>160</v>
      </c>
      <c r="H1" t="s">
        <v>161</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51"/>
    </row>
    <row r="39" spans="2:19" x14ac:dyDescent="0.25">
      <c r="B39">
        <v>4.4696119999999997</v>
      </c>
      <c r="C39">
        <v>0.30669099999999999</v>
      </c>
      <c r="D39">
        <v>344156</v>
      </c>
      <c r="E39">
        <v>1.37079</v>
      </c>
      <c r="F39">
        <v>0.34415600000000002</v>
      </c>
      <c r="G39">
        <f t="shared" si="1"/>
        <v>344.15600000000001</v>
      </c>
      <c r="H39">
        <v>125</v>
      </c>
      <c r="S39" s="151"/>
    </row>
    <row r="40" spans="2:19" x14ac:dyDescent="0.25">
      <c r="B40">
        <v>2.686277</v>
      </c>
      <c r="C40">
        <v>1.521733</v>
      </c>
      <c r="D40">
        <v>12623</v>
      </c>
      <c r="E40">
        <v>4.087796</v>
      </c>
      <c r="F40">
        <v>1.2623000000000001E-2</v>
      </c>
      <c r="G40">
        <f t="shared" si="1"/>
        <v>12.623000000000001</v>
      </c>
      <c r="H40">
        <v>125</v>
      </c>
      <c r="S40" s="151"/>
    </row>
    <row r="41" spans="2:19" x14ac:dyDescent="0.25">
      <c r="B41">
        <v>3.2182029999999999</v>
      </c>
      <c r="C41">
        <v>1.4366350000000001</v>
      </c>
      <c r="D41">
        <v>10184</v>
      </c>
      <c r="E41">
        <v>4.6233829999999996</v>
      </c>
      <c r="F41">
        <v>1.0184E-2</v>
      </c>
      <c r="G41">
        <f t="shared" si="1"/>
        <v>10.184000000000001</v>
      </c>
      <c r="H41">
        <v>125</v>
      </c>
      <c r="S41" s="151"/>
    </row>
    <row r="42" spans="2:19" x14ac:dyDescent="0.25">
      <c r="B42">
        <v>3.7347549999999998</v>
      </c>
      <c r="C42">
        <v>1.344991</v>
      </c>
      <c r="D42">
        <v>8007</v>
      </c>
      <c r="E42">
        <v>5.023212</v>
      </c>
      <c r="F42">
        <v>8.0070000000000002E-3</v>
      </c>
      <c r="G42">
        <f t="shared" si="1"/>
        <v>8.0069999999999997</v>
      </c>
      <c r="H42">
        <v>125</v>
      </c>
      <c r="S42" s="151"/>
    </row>
    <row r="43" spans="2:19" x14ac:dyDescent="0.25">
      <c r="B43">
        <v>4.2472079999999997</v>
      </c>
      <c r="C43">
        <v>1.302492</v>
      </c>
      <c r="D43">
        <v>6375</v>
      </c>
      <c r="E43">
        <v>5.5319539999999998</v>
      </c>
      <c r="F43">
        <v>6.3749999999999996E-3</v>
      </c>
      <c r="G43">
        <f t="shared" si="1"/>
        <v>6.375</v>
      </c>
      <c r="H43">
        <v>125</v>
      </c>
      <c r="S43" s="15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Vincent</cp:lastModifiedBy>
  <cp:lastPrinted>2013-06-05T10:58:25Z</cp:lastPrinted>
  <dcterms:created xsi:type="dcterms:W3CDTF">2013-05-30T14:28:05Z</dcterms:created>
  <dcterms:modified xsi:type="dcterms:W3CDTF">2023-06-27T23:24:04Z</dcterms:modified>
</cp:coreProperties>
</file>